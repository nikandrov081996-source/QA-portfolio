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 activeTab="1"/>
  </bookViews>
  <sheets>
    <sheet name="ЭКВ. РАЗБИЕНИЕ И ГРАНИЧНЫЕ ЗНАЧ" sheetId="1" r:id="rId1"/>
    <sheet name="ПОПАРНОЕ ТЕСТИРОВАНИЕ" sheetId="2" r:id="rId2"/>
    <sheet name="ТАБЛИЦА ПРИНЯТИЯ РЕШЕНИЙ" sheetId="3" r:id="rId3"/>
    <sheet name="ТЕХНИКА ПЕРЕХОДОВ СОСТОЯНИ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<sst xmlns="http://schemas.openxmlformats.org/spreadsheetml/2006/main" count="701" uniqueCount="159">
  <si>
    <t>ТЕХНИКА ЭКВИВАЛЕНТНОГО РАЗБИЕНИЯ</t>
  </si>
  <si>
    <t>РЕГИСТРАЦИЯ ПОЛЬЗОВАТЕЛЯ (ДЛИНА ИМЕНИ ПОЛЬЗОВАТЕЛЯ)</t>
  </si>
  <si>
    <t>0-3 СИМВОЛА</t>
  </si>
  <si>
    <t>3-50 СИМВОЛОВ</t>
  </si>
  <si>
    <t>БОЛЕЕ 50 СИМВОЛОВ</t>
  </si>
  <si>
    <t>ПРОЙДЕНО (РЕГИСТРАЦИЯ НЕ ПРОИСХОДИТ)</t>
  </si>
  <si>
    <t>ПРОЙДЕНО (РЕГИСТРАЦИЯ ПРОИСХОДИТ)</t>
  </si>
  <si>
    <t>ПРОЙДЕНО (РЕГИСТРАЦИЯ ПРОИСХОДИТ С ОБРЕЗКОЙ ЛОГИНА ДО 50 СИМВОЛОВ)</t>
  </si>
  <si>
    <t>ТЕХНИКА ГРАНИЧНЫХ ЗНАЧЕНИЙ</t>
  </si>
  <si>
    <t>РЕГИСТРАЦИЯ ПОЛЬЗОВАТЕЛЯ (ДЛИНА ПАРОЛЯ ПОЛЬЗОВАТЕЛЯ)</t>
  </si>
  <si>
    <t>0-8 СИМВОЛА</t>
  </si>
  <si>
    <t>8-128 СИМВОЛОВ</t>
  </si>
  <si>
    <t>БОЛЕЕ 128 СИМВОЛОВ</t>
  </si>
  <si>
    <t>ПРОЙДЕНО (РЕГИСТРАЦИЯ ПРОИСХОДИТ С ОБРЕЗКОЙ ПАРОЛЯ ДО 128 СИМВОЛОВ)</t>
  </si>
  <si>
    <t>ВХОД ПОЛЬЗОВАТЕЛЯ (ДЛИНА ИМЕНИ ПОЛЬЗОВАТЕЛЯ)</t>
  </si>
  <si>
    <t>ПРОЙДЕНО (ВХОД НЕ ОСУЩЕСТВЛЯЕТСЯ)</t>
  </si>
  <si>
    <t>ПРОЙДЕНО (ВХОД ОСУЩЕСТВЛЯЕТСЯ)</t>
  </si>
  <si>
    <t>ВОССТАНОВЛЕНИЕ ПАРОЛЯ ПОЛЬЗОВАТЕЛЯ (ДЛИНА КОДА ПОДТВЕРЖДЕНИЯ)</t>
  </si>
  <si>
    <t>0-6 СИМВОЛОВ</t>
  </si>
  <si>
    <t>6-23 СИМВОЛА</t>
  </si>
  <si>
    <t>БОЛЕЕ 23 СИМВОЛОВ</t>
  </si>
  <si>
    <t>ПРОЙДЕНО (ПАРОЛЬ НЕ ВОССТАНОВЛЕН)</t>
  </si>
  <si>
    <t>ПРОЙДЕНО (ПАРОЛЬ ВОССТАНОВЛЕН)</t>
  </si>
  <si>
    <t>ВХОД В АККАУНТ С ПОМОЩЬЮ РЕЗЕРВНОГО КОДА (ДЛИНА КОДА ПОДТВЕРЖДЕНИЯ)</t>
  </si>
  <si>
    <t>ИМПОРТ ZIP-ПАПКИ (ЕЁ РАЗМЕР)</t>
  </si>
  <si>
    <t>0-200 МБАЙТ</t>
  </si>
  <si>
    <t>БОЛЕЕ 200 МБАЙТ</t>
  </si>
  <si>
    <t>ПРОЙДЕНО (ИМПОРТ ПРОЕКТА УСПЕШНО ПРОИЗВЕДЁН)</t>
  </si>
  <si>
    <t>ПРОЙДЕНО (ИМПОРТ ПРОЕКТА НЕ ПРОИЗВЕДЁН)</t>
  </si>
  <si>
    <t>0 МБАЙТ</t>
  </si>
  <si>
    <t>199,9 МБАЙТ</t>
  </si>
  <si>
    <t>200 МБАЙТ</t>
  </si>
  <si>
    <t>200,1 МБАЙТ</t>
  </si>
  <si>
    <t>ПЕРЕИМЕНОВАНИЕ ПРОЕКТА (ДЛИНА НАЗВАНИЯ ПРОЕКТА)</t>
  </si>
  <si>
    <t>0 СИМВОЛОВ</t>
  </si>
  <si>
    <t>1-255 СИМВОЛОВ</t>
  </si>
  <si>
    <t>БОЛЕЕ 255 СИМВОЛОВ</t>
  </si>
  <si>
    <t>ПРОЙДЕНО (ПЕРЕИМЕНОВАНИЕ НЕ ПРОИЗВЕДЕНО)</t>
  </si>
  <si>
    <t>ПРОЙДЕНО (ПЕРЕИМЕНОВАНИЕ ПРОИЗВЕДЕНО УСПЕШНО</t>
  </si>
  <si>
    <t>ПРОЙДЕНО (ПЕРЕИМЕНОВАНИЕ ПРОИЗВЕДЕНО УСПЕШНО С ОБРЕЗКОЙ ДО ПЕРВЫХ 255 СИМВОЛОВ)</t>
  </si>
  <si>
    <t>1 СИМВОЛ</t>
  </si>
  <si>
    <t>2 СИМВОЛА</t>
  </si>
  <si>
    <t>254 СИМВОЛА</t>
  </si>
  <si>
    <t>255 СИМВОЛОВ</t>
  </si>
  <si>
    <t>256 СИМВОЛОВ</t>
  </si>
  <si>
    <t>ОТПРАВКА СООБЩЕНИЯ НЕЙРОСЕТИ (ДЛИНА СООБЩЕНИЯ)</t>
  </si>
  <si>
    <t>ДО 4000 СИМВОЛОВ</t>
  </si>
  <si>
    <t>БОЛЕЕ 4000 СИМВОЛОВ</t>
  </si>
  <si>
    <t>ПРОЙДЕНО (СООБЩЕНИЕ ОТПРАВЛЯЕТСЯ В ПОЛНОМ ОБЪЁМЕ)</t>
  </si>
  <si>
    <t>ПРОЙДЕНО (СООБЩЕНИЕ ОТПРАВЛЯЕТСЯ В ОБЪЁМЕ ПЕРВЫХ 4000 СИМВОЛОВ)</t>
  </si>
  <si>
    <t>3999 СИМВОЛОВ</t>
  </si>
  <si>
    <t>4000 СИМВОЛОВ</t>
  </si>
  <si>
    <t>4001 СИМВОЛ</t>
  </si>
  <si>
    <t>ИЗМЕНЕНИЕ ИМЕНИ ПОМОЩНИКА (ДЛИНА ИМЕНИ ПОМОЩНИКА)</t>
  </si>
  <si>
    <t>1-40 СИМВОЛОВ</t>
  </si>
  <si>
    <t>БОЛЕЕ 40 СИМВОЛОВ</t>
  </si>
  <si>
    <t>ПРОЙДЕНО (ИМЯ ПОМОЩНИКА ОСТАЁТСЯ ПО УМОЛЧАНИЮ ("ПОМОЩНИК"))</t>
  </si>
  <si>
    <t>ПРОЙДЕНО (ИМЯ ПОМОЩНИКА УСПЕШНО ИЗМЕНЯЕТСЯ)</t>
  </si>
  <si>
    <t>ПРОЙДЕНО (ИМЯ ПОМОЩНИКА СОКРАЩАЕТСЯ ДО 40 СИМВОЛОВ И УСПЕШНО ИЗМЕНЯЕТСЯ)</t>
  </si>
  <si>
    <t>39 СИМВОЛОВ</t>
  </si>
  <si>
    <t>40 СИМВОЛОВ</t>
  </si>
  <si>
    <t>41 СИМВОЛ</t>
  </si>
  <si>
    <t>ИЗМЕНЕНИЕ ИМЕНИ ПОЛЬЗОВАТЕЛЯ (ДЛИНА ИМЕНИ ПОЛЬЗОВАТЕЛЯ)</t>
  </si>
  <si>
    <t>1-60 СИМВОЛОВ</t>
  </si>
  <si>
    <t>БОЛЕЕ 60 СИМВОЛОВ</t>
  </si>
  <si>
    <t>ПРОЙДЕНО (ИМЯ ПОЛЬЗОВАТЕЛЯ ОСТАЁТСЯ ПО УМОЛЧАНИЮ (ЕГО ЛОГИН))</t>
  </si>
  <si>
    <t>ПРОЙДЕНО (ИМЯ ПОЛЬЗОВАТЕЛЯ УСПЕШНО ИЗМЕНЯЕТСЯ)</t>
  </si>
  <si>
    <t>ПРОЙДЕНО (ИМЯ ПОЛЬЗОВАТЕЛЯ СОКРАЩАЕТСЯ ДО 60 СИМВОЛОВ И УСПЕШНО ИЗМЕНЯЕТСЯ)</t>
  </si>
  <si>
    <t>59 СИМВОЛОВ</t>
  </si>
  <si>
    <t>60 СИМВОЛОВ</t>
  </si>
  <si>
    <t>61 СИМВОЛ</t>
  </si>
  <si>
    <t>РАЗДЕЛ: КОММЕНТИРОВАНИЕ С AI</t>
  </si>
  <si>
    <t>МОДЕЛЬ</t>
  </si>
  <si>
    <t>ЯЗЫК КОММЕНТАРИЕВ</t>
  </si>
  <si>
    <t>ПОДРОБНОСТЬ ОТВЕТА</t>
  </si>
  <si>
    <t>ФОРМАТ КОММЕНТАРИЕВ PYTHON</t>
  </si>
  <si>
    <t>DEEPSEEK-V4.1-FLASH</t>
  </si>
  <si>
    <t>РУССКИЙ</t>
  </si>
  <si>
    <t>КРАТКО</t>
  </si>
  <si>
    <t>GOOGLE</t>
  </si>
  <si>
    <t>ИТОГОВОЕ КОЛ-ВО КОМБИНАЦИЙ:</t>
  </si>
  <si>
    <t>GPT-6-LUNA</t>
  </si>
  <si>
    <t>АНГЛИЙСКИЙ</t>
  </si>
  <si>
    <t>ОБЫЧНО</t>
  </si>
  <si>
    <t>NUMPY</t>
  </si>
  <si>
    <t>QWEN3.8-FLASH</t>
  </si>
  <si>
    <t>ПОДРОБНО</t>
  </si>
  <si>
    <t>RESTRUCTRED TEXT</t>
  </si>
  <si>
    <t>GLM-5.3-FLASH</t>
  </si>
  <si>
    <t>CLAUDE-HAIKU-4-5</t>
  </si>
  <si>
    <t>DEEPSEEK-V4-PRO</t>
  </si>
  <si>
    <t>GPT-6-SOL</t>
  </si>
  <si>
    <t>CLAUDE-SONNET-5</t>
  </si>
  <si>
    <t>GPT-5.6-LUNA</t>
  </si>
  <si>
    <t>GPT-6-ASTRA</t>
  </si>
  <si>
    <t>РЕЗУЛЬТАТ ПОПАРНОГО ТЕСТИРОВАНИЯ</t>
  </si>
  <si>
    <t>RESTRUCTRED</t>
  </si>
  <si>
    <t>КОЛИЧЕСТВО ТЕСТ-КЕЙСОВ СОКРАТИЛОСЬ В</t>
  </si>
  <si>
    <t>РАЗ</t>
  </si>
  <si>
    <t>РАЗДЕЛ: ПРОСМОТР КОДА</t>
  </si>
  <si>
    <t>РАЗМЕР ШРИФТА</t>
  </si>
  <si>
    <t>ПЕРЕНОС ДЛИННЫХ СТРОК</t>
  </si>
  <si>
    <t>НОМЕРА СТРОК</t>
  </si>
  <si>
    <t>ЕСТЬ</t>
  </si>
  <si>
    <t>НЕТ</t>
  </si>
  <si>
    <t>РАЗА</t>
  </si>
  <si>
    <t>РАЗДЕЛ: ВНЕШНИЙ ВИД И ЯЗЫК</t>
  </si>
  <si>
    <t>РЕЖИМ ТЕМЫ</t>
  </si>
  <si>
    <t>ЯЗЫК ИНТЕРФЕЙСА</t>
  </si>
  <si>
    <t>АНИМАЦИИ ИНТЕРФЕЙСА</t>
  </si>
  <si>
    <t>СИСТЕМНАЯ</t>
  </si>
  <si>
    <t>ТЁМНАЯ</t>
  </si>
  <si>
    <t>СВЕТЛАЯ</t>
  </si>
  <si>
    <t>ВХОД В АККАУНТ</t>
  </si>
  <si>
    <t>Условие</t>
  </si>
  <si>
    <t>Правило 1</t>
  </si>
  <si>
    <t>Правило 2</t>
  </si>
  <si>
    <t>Правило 3</t>
  </si>
  <si>
    <t>Правило 4</t>
  </si>
  <si>
    <t>Правило 5</t>
  </si>
  <si>
    <t>Правило 6</t>
  </si>
  <si>
    <t>Правило 7</t>
  </si>
  <si>
    <t>Правило 8</t>
  </si>
  <si>
    <t>Правило 9</t>
  </si>
  <si>
    <t>Правило 10</t>
  </si>
  <si>
    <t>Имя пользователя введено правильно?</t>
  </si>
  <si>
    <t>Да</t>
  </si>
  <si>
    <t>Нет</t>
  </si>
  <si>
    <t>Пароль введён правильно?</t>
  </si>
  <si>
    <t>Есть двухфакторная аутентификация?</t>
  </si>
  <si>
    <t>Код подтверждения введён правильно?</t>
  </si>
  <si>
    <t>-</t>
  </si>
  <si>
    <t>Результат входа:</t>
  </si>
  <si>
    <t>РЕГИСТРАЦИЯ АККАУНТА</t>
  </si>
  <si>
    <t>Правило 11</t>
  </si>
  <si>
    <t>Правило 12</t>
  </si>
  <si>
    <t>Правило 13</t>
  </si>
  <si>
    <t>Правило 14</t>
  </si>
  <si>
    <t>Правило 15</t>
  </si>
  <si>
    <t>Правило 16</t>
  </si>
  <si>
    <t>E-mail введён правильно?</t>
  </si>
  <si>
    <t>Ключ альфа-тестирования введён правильно?</t>
  </si>
  <si>
    <t>Результат регистрации:</t>
  </si>
  <si>
    <t>АНАЛИЗ КОДА В ПРОЕКТЕ</t>
  </si>
  <si>
    <t>Файл выбран?</t>
  </si>
  <si>
    <t>Анализ поддерживает расширение данного файла?</t>
  </si>
  <si>
    <t>В файле есть код?</t>
  </si>
  <si>
    <t>Анализ завершился успешно?</t>
  </si>
  <si>
    <t>Результат анализа кода:</t>
  </si>
  <si>
    <t>ИМПОРТ ПРОЕКТА</t>
  </si>
  <si>
    <t>ZIP-архив выбран?</t>
  </si>
  <si>
    <t>Архив пустой?</t>
  </si>
  <si>
    <t>Размер архива допустимый?</t>
  </si>
  <si>
    <t>Размер файлов в архиве допустимый?</t>
  </si>
  <si>
    <t>Есть вложенные архивы?</t>
  </si>
  <si>
    <t>Результат импорта проекта:</t>
  </si>
  <si>
    <t>ВКЛАДКА РЕГИСТРАЦИИ</t>
  </si>
  <si>
    <t>ВКЛАДКА ВХОДА В АККАУНТ</t>
  </si>
  <si>
    <t>ВОССТАНОВЛЕНИЕ ПАРОЛЯ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</si>
</sst>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5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372110</xdr:colOff>
      <xdr:row>2</xdr:row>
      <xdr:rowOff>85725</xdr:rowOff>
    </xdr:from>
    <xdr:to>
      <xdr:col>6</xdr:col>
      <xdr:colOff>304165</xdr:colOff>
      <xdr:row>12</xdr:row>
      <xdr:rowOff>170815</xdr:rowOff>
    </xdr:to>
    <xdr:sp>
      <xdr:nvSpPr>
        <xdr:cNvPr id="2" name="Блок-схема: узел 1"/>
        <xdr:cNvSpPr/>
      </xdr:nvSpPr>
      <xdr:spPr>
        <a:xfrm>
          <a:off x="1591310" y="514350"/>
          <a:ext cx="2370455" cy="1990090"/>
        </a:xfrm>
        <a:prstGeom prst="flowChartConnector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ru-RU" altLang="en-US" sz="1100"/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ПОЛЬЗОВАТЕЛЬ НЕ ЗАРЕГИСТРИРОВАН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10</xdr:col>
      <xdr:colOff>356235</xdr:colOff>
      <xdr:row>5</xdr:row>
      <xdr:rowOff>41275</xdr:rowOff>
    </xdr:from>
    <xdr:to>
      <xdr:col>14</xdr:col>
      <xdr:colOff>173355</xdr:colOff>
      <xdr:row>16</xdr:row>
      <xdr:rowOff>2540</xdr:rowOff>
    </xdr:to>
    <xdr:sp>
      <xdr:nvSpPr>
        <xdr:cNvPr id="3" name="Блок-схема: узел 2"/>
        <xdr:cNvSpPr/>
      </xdr:nvSpPr>
      <xdr:spPr>
        <a:xfrm>
          <a:off x="6452235" y="1041400"/>
          <a:ext cx="2255520" cy="2056765"/>
        </a:xfrm>
        <a:prstGeom prst="flowChartConnector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/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ПОЛЬЗОВАТЕЛЬ ЗАРЕГИСТРИРОВАН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6</xdr:col>
      <xdr:colOff>304165</xdr:colOff>
      <xdr:row>7</xdr:row>
      <xdr:rowOff>128270</xdr:rowOff>
    </xdr:from>
    <xdr:to>
      <xdr:col>10</xdr:col>
      <xdr:colOff>356235</xdr:colOff>
      <xdr:row>10</xdr:row>
      <xdr:rowOff>117475</xdr:rowOff>
    </xdr:to>
    <xdr:cxnSp>
      <xdr:nvCxnSpPr>
        <xdr:cNvPr id="4" name="Прямая со стрелкой 3"/>
        <xdr:cNvCxnSpPr>
          <a:stCxn id="2" idx="6"/>
          <a:endCxn id="3" idx="2"/>
        </xdr:cNvCxnSpPr>
      </xdr:nvCxnSpPr>
      <xdr:spPr>
        <a:xfrm>
          <a:off x="3961765" y="1509395"/>
          <a:ext cx="2490470" cy="56070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6</xdr:row>
      <xdr:rowOff>152400</xdr:rowOff>
    </xdr:from>
    <xdr:to>
      <xdr:col>10</xdr:col>
      <xdr:colOff>114300</xdr:colOff>
      <xdr:row>8</xdr:row>
      <xdr:rowOff>95250</xdr:rowOff>
    </xdr:to>
    <xdr:sp>
      <xdr:nvSpPr>
        <xdr:cNvPr id="5" name="Текстовое поле 4"/>
        <xdr:cNvSpPr txBox="1"/>
      </xdr:nvSpPr>
      <xdr:spPr>
        <a:xfrm>
          <a:off x="4486275" y="1343025"/>
          <a:ext cx="1724025" cy="3238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ru-RU" altLang="en-US" sz="1100"/>
            <a:t>ВВОД ВЕРНЫХ ДАННЫХ</a:t>
          </a:r>
          <a:endParaRPr lang="ru-RU" altLang="en-US" sz="1100"/>
        </a:p>
      </xdr:txBody>
    </xdr:sp>
    <xdr:clientData/>
  </xdr:twoCellAnchor>
  <xdr:twoCellAnchor>
    <xdr:from>
      <xdr:col>2</xdr:col>
      <xdr:colOff>571500</xdr:colOff>
      <xdr:row>15</xdr:row>
      <xdr:rowOff>171450</xdr:rowOff>
    </xdr:from>
    <xdr:to>
      <xdr:col>5</xdr:col>
      <xdr:colOff>533400</xdr:colOff>
      <xdr:row>20</xdr:row>
      <xdr:rowOff>46990</xdr:rowOff>
    </xdr:to>
    <xdr:sp>
      <xdr:nvSpPr>
        <xdr:cNvPr id="12" name="Текстовое поле 11"/>
        <xdr:cNvSpPr txBox="1"/>
      </xdr:nvSpPr>
      <xdr:spPr>
        <a:xfrm>
          <a:off x="1790700" y="3076575"/>
          <a:ext cx="1790700" cy="82804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ВВОД НЕВЕРНОГО</a:t>
          </a:r>
          <a:endParaRPr lang="ru-RU" altLang="en-US" sz="1100"/>
        </a:p>
        <a:p>
          <a:pPr algn="l"/>
          <a:r>
            <a:rPr lang="ru-RU" altLang="en-US" sz="1100"/>
            <a:t>ЛОГИНА</a:t>
          </a:r>
          <a:r>
            <a:rPr lang="en-US" altLang="ru-RU" sz="1100"/>
            <a:t>/</a:t>
          </a:r>
          <a:r>
            <a:rPr lang="ru-RU" altLang="en-US" sz="1100"/>
            <a:t>ПОЧТЫ</a:t>
          </a:r>
          <a:r>
            <a:rPr lang="en-US" altLang="ru-RU" sz="1100"/>
            <a:t>/</a:t>
          </a:r>
          <a:r>
            <a:rPr lang="ru-RU" altLang="en-US" sz="1100"/>
            <a:t>ПАРОЛЯ</a:t>
          </a:r>
          <a:r>
            <a:rPr lang="en-US" altLang="ru-RU" sz="1100"/>
            <a:t>/</a:t>
          </a:r>
          <a:r>
            <a:rPr lang="ru-RU" altLang="en-US" sz="1100"/>
            <a:t>КЛЮЧА АЛЬФА-ТЕСТИРОВАНИЯ</a:t>
          </a:r>
          <a:endParaRPr lang="ru-RU" altLang="en-US" sz="1100"/>
        </a:p>
      </xdr:txBody>
    </xdr:sp>
    <xdr:clientData/>
  </xdr:twoCellAnchor>
  <xdr:twoCellAnchor>
    <xdr:from>
      <xdr:col>4</xdr:col>
      <xdr:colOff>108585</xdr:colOff>
      <xdr:row>20</xdr:row>
      <xdr:rowOff>3175</xdr:rowOff>
    </xdr:from>
    <xdr:to>
      <xdr:col>8</xdr:col>
      <xdr:colOff>279400</xdr:colOff>
      <xdr:row>33</xdr:row>
      <xdr:rowOff>31750</xdr:rowOff>
    </xdr:to>
    <xdr:sp>
      <xdr:nvSpPr>
        <xdr:cNvPr id="13" name="Блок-схема: узел 12"/>
        <xdr:cNvSpPr/>
      </xdr:nvSpPr>
      <xdr:spPr>
        <a:xfrm>
          <a:off x="2546985" y="3860800"/>
          <a:ext cx="2609215" cy="2505075"/>
        </a:xfrm>
        <a:prstGeom prst="flowChartConnector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/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ПОЛЬЗОВАТЕЛЬ НЕ СМОГ ЗАРЕГИСТРИРОВАТЬСЯ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«ОШИБКА ВВОДА»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4</xdr:col>
      <xdr:colOff>338455</xdr:colOff>
      <xdr:row>12</xdr:row>
      <xdr:rowOff>170815</xdr:rowOff>
    </xdr:from>
    <xdr:to>
      <xdr:col>6</xdr:col>
      <xdr:colOff>194310</xdr:colOff>
      <xdr:row>20</xdr:row>
      <xdr:rowOff>3175</xdr:rowOff>
    </xdr:to>
    <xdr:cxnSp>
      <xdr:nvCxnSpPr>
        <xdr:cNvPr id="14" name="Прямая со стрелкой 13"/>
        <xdr:cNvCxnSpPr>
          <a:stCxn id="2" idx="4"/>
          <a:endCxn id="13" idx="0"/>
        </xdr:cNvCxnSpPr>
      </xdr:nvCxnSpPr>
      <xdr:spPr>
        <a:xfrm>
          <a:off x="2776855" y="2504440"/>
          <a:ext cx="1075055" cy="135636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506730</xdr:colOff>
      <xdr:row>26</xdr:row>
      <xdr:rowOff>113030</xdr:rowOff>
    </xdr:from>
    <xdr:to>
      <xdr:col>8</xdr:col>
      <xdr:colOff>279400</xdr:colOff>
      <xdr:row>31</xdr:row>
      <xdr:rowOff>45720</xdr:rowOff>
    </xdr:to>
    <xdr:cxnSp>
      <xdr:nvCxnSpPr>
        <xdr:cNvPr id="16" name="Криволинейное соединение 15"/>
        <xdr:cNvCxnSpPr/>
      </xdr:nvCxnSpPr>
      <xdr:spPr>
        <a:xfrm flipH="1">
          <a:off x="4773930" y="5113655"/>
          <a:ext cx="382270" cy="885190"/>
        </a:xfrm>
        <a:prstGeom prst="curvedConnector4">
          <a:avLst>
            <a:gd name="adj1" fmla="val -226744"/>
            <a:gd name="adj2" fmla="val 132855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30</xdr:row>
      <xdr:rowOff>0</xdr:rowOff>
    </xdr:from>
    <xdr:to>
      <xdr:col>12</xdr:col>
      <xdr:colOff>409575</xdr:colOff>
      <xdr:row>34</xdr:row>
      <xdr:rowOff>66040</xdr:rowOff>
    </xdr:to>
    <xdr:sp>
      <xdr:nvSpPr>
        <xdr:cNvPr id="17" name="Текстовое поле 16"/>
        <xdr:cNvSpPr txBox="1"/>
      </xdr:nvSpPr>
      <xdr:spPr>
        <a:xfrm>
          <a:off x="5934075" y="5762625"/>
          <a:ext cx="1790700" cy="82804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ВВОД НЕВЕРНОГО</a:t>
          </a:r>
          <a:endParaRPr lang="ru-RU" altLang="en-US" sz="1100"/>
        </a:p>
        <a:p>
          <a:pPr algn="l"/>
          <a:r>
            <a:rPr lang="ru-RU" altLang="en-US" sz="1100"/>
            <a:t>ЛОГИНА</a:t>
          </a:r>
          <a:r>
            <a:rPr lang="en-US" altLang="ru-RU" sz="1100"/>
            <a:t>/</a:t>
          </a:r>
          <a:r>
            <a:rPr lang="ru-RU" altLang="en-US" sz="1100"/>
            <a:t>ПОЧТЫ</a:t>
          </a:r>
          <a:r>
            <a:rPr lang="en-US" altLang="ru-RU" sz="1100"/>
            <a:t>/</a:t>
          </a:r>
          <a:r>
            <a:rPr lang="ru-RU" altLang="en-US" sz="1100"/>
            <a:t>ПАРОЛЯ</a:t>
          </a:r>
          <a:r>
            <a:rPr lang="en-US" altLang="ru-RU" sz="1100"/>
            <a:t>/</a:t>
          </a:r>
          <a:r>
            <a:rPr lang="ru-RU" altLang="en-US" sz="1100"/>
            <a:t>КЛЮЧА АЛЬФА-ТЕСТИРОВАНИЯ</a:t>
          </a:r>
          <a:endParaRPr lang="ru-RU" altLang="en-US" sz="1100"/>
        </a:p>
      </xdr:txBody>
    </xdr:sp>
    <xdr:clientData/>
  </xdr:twoCellAnchor>
  <xdr:twoCellAnchor>
    <xdr:from>
      <xdr:col>7</xdr:col>
      <xdr:colOff>506730</xdr:colOff>
      <xdr:row>14</xdr:row>
      <xdr:rowOff>82550</xdr:rowOff>
    </xdr:from>
    <xdr:to>
      <xdr:col>11</xdr:col>
      <xdr:colOff>76835</xdr:colOff>
      <xdr:row>21</xdr:row>
      <xdr:rowOff>179705</xdr:rowOff>
    </xdr:to>
    <xdr:cxnSp>
      <xdr:nvCxnSpPr>
        <xdr:cNvPr id="18" name="Прямая со стрелкой 17"/>
        <xdr:cNvCxnSpPr>
          <a:stCxn id="13" idx="7"/>
          <a:endCxn id="3" idx="3"/>
        </xdr:cNvCxnSpPr>
      </xdr:nvCxnSpPr>
      <xdr:spPr>
        <a:xfrm flipV="1">
          <a:off x="4773930" y="2797175"/>
          <a:ext cx="2008505" cy="14306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184150</xdr:colOff>
      <xdr:row>18</xdr:row>
      <xdr:rowOff>12700</xdr:rowOff>
    </xdr:from>
    <xdr:to>
      <xdr:col>12</xdr:col>
      <xdr:colOff>79375</xdr:colOff>
      <xdr:row>19</xdr:row>
      <xdr:rowOff>146050</xdr:rowOff>
    </xdr:to>
    <xdr:sp>
      <xdr:nvSpPr>
        <xdr:cNvPr id="19" name="Текстовое поле 18"/>
        <xdr:cNvSpPr txBox="1"/>
      </xdr:nvSpPr>
      <xdr:spPr>
        <a:xfrm>
          <a:off x="5670550" y="3489325"/>
          <a:ext cx="1724025" cy="3238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ВВОД ВЕРНЫХ ДАННЫХ</a:t>
          </a:r>
          <a:endParaRPr lang="ru-RU" altLang="en-US" sz="1100"/>
        </a:p>
      </xdr:txBody>
    </xdr:sp>
    <xdr:clientData/>
  </xdr:twoCellAnchor>
  <xdr:twoCellAnchor>
    <xdr:from>
      <xdr:col>11</xdr:col>
      <xdr:colOff>13335</xdr:colOff>
      <xdr:row>40</xdr:row>
      <xdr:rowOff>136525</xdr:rowOff>
    </xdr:from>
    <xdr:to>
      <xdr:col>14</xdr:col>
      <xdr:colOff>431800</xdr:colOff>
      <xdr:row>51</xdr:row>
      <xdr:rowOff>88265</xdr:rowOff>
    </xdr:to>
    <xdr:sp>
      <xdr:nvSpPr>
        <xdr:cNvPr id="20" name="Блок-схема: узел 19"/>
        <xdr:cNvSpPr/>
      </xdr:nvSpPr>
      <xdr:spPr>
        <a:xfrm>
          <a:off x="6718935" y="7851775"/>
          <a:ext cx="2247265" cy="2047240"/>
        </a:xfrm>
        <a:prstGeom prst="flowChartConnector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/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ПОЛЬЗОВАТЕЛЬ УСПЕШНО ВОШЁЛ В АККАУНТ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3</xdr:col>
      <xdr:colOff>216535</xdr:colOff>
      <xdr:row>41</xdr:row>
      <xdr:rowOff>25400</xdr:rowOff>
    </xdr:from>
    <xdr:to>
      <xdr:col>7</xdr:col>
      <xdr:colOff>25400</xdr:colOff>
      <xdr:row>51</xdr:row>
      <xdr:rowOff>167640</xdr:rowOff>
    </xdr:to>
    <xdr:sp>
      <xdr:nvSpPr>
        <xdr:cNvPr id="21" name="Блок-схема: узел 20"/>
        <xdr:cNvSpPr/>
      </xdr:nvSpPr>
      <xdr:spPr>
        <a:xfrm>
          <a:off x="2045335" y="7931150"/>
          <a:ext cx="2247265" cy="2047240"/>
        </a:xfrm>
        <a:prstGeom prst="flowChartConnector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/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ПОЛЬЗОВАТЕЛЬ УЖЕ ЗАРЕГИСТРИРОВАН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7</xdr:col>
      <xdr:colOff>25400</xdr:colOff>
      <xdr:row>46</xdr:row>
      <xdr:rowOff>17145</xdr:rowOff>
    </xdr:from>
    <xdr:to>
      <xdr:col>11</xdr:col>
      <xdr:colOff>13335</xdr:colOff>
      <xdr:row>46</xdr:row>
      <xdr:rowOff>96520</xdr:rowOff>
    </xdr:to>
    <xdr:cxnSp>
      <xdr:nvCxnSpPr>
        <xdr:cNvPr id="22" name="Прямая со стрелкой 21"/>
        <xdr:cNvCxnSpPr>
          <a:stCxn id="21" idx="6"/>
          <a:endCxn id="20" idx="2"/>
        </xdr:cNvCxnSpPr>
      </xdr:nvCxnSpPr>
      <xdr:spPr>
        <a:xfrm flipV="1">
          <a:off x="4292600" y="8875395"/>
          <a:ext cx="2426335" cy="793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58</xdr:row>
      <xdr:rowOff>114300</xdr:rowOff>
    </xdr:from>
    <xdr:to>
      <xdr:col>7</xdr:col>
      <xdr:colOff>94615</xdr:colOff>
      <xdr:row>69</xdr:row>
      <xdr:rowOff>66040</xdr:rowOff>
    </xdr:to>
    <xdr:sp>
      <xdr:nvSpPr>
        <xdr:cNvPr id="23" name="Блок-схема: узел 22"/>
        <xdr:cNvSpPr/>
      </xdr:nvSpPr>
      <xdr:spPr>
        <a:xfrm>
          <a:off x="2114550" y="11258550"/>
          <a:ext cx="2247265" cy="2047240"/>
        </a:xfrm>
        <a:prstGeom prst="flowChartConnector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/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ПОЛЬЗОВАТЕЛЬ ЕЩЁ НЕ ЗАРЕГИСТРИРОВАН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11</xdr:col>
      <xdr:colOff>260350</xdr:colOff>
      <xdr:row>58</xdr:row>
      <xdr:rowOff>174625</xdr:rowOff>
    </xdr:from>
    <xdr:to>
      <xdr:col>15</xdr:col>
      <xdr:colOff>69215</xdr:colOff>
      <xdr:row>69</xdr:row>
      <xdr:rowOff>126365</xdr:rowOff>
    </xdr:to>
    <xdr:sp>
      <xdr:nvSpPr>
        <xdr:cNvPr id="24" name="Блок-схема: узел 23"/>
        <xdr:cNvSpPr/>
      </xdr:nvSpPr>
      <xdr:spPr>
        <a:xfrm>
          <a:off x="6965950" y="11318875"/>
          <a:ext cx="2247265" cy="2047240"/>
        </a:xfrm>
        <a:prstGeom prst="flowChartConnector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/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ОШИБКА ВХОДА В АККАУНТ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7</xdr:col>
      <xdr:colOff>409575</xdr:colOff>
      <xdr:row>62</xdr:row>
      <xdr:rowOff>123825</xdr:rowOff>
    </xdr:from>
    <xdr:to>
      <xdr:col>11</xdr:col>
      <xdr:colOff>19050</xdr:colOff>
      <xdr:row>64</xdr:row>
      <xdr:rowOff>38100</xdr:rowOff>
    </xdr:to>
    <xdr:sp>
      <xdr:nvSpPr>
        <xdr:cNvPr id="28" name="Текстовое поле 27"/>
        <xdr:cNvSpPr txBox="1"/>
      </xdr:nvSpPr>
      <xdr:spPr>
        <a:xfrm>
          <a:off x="4676775" y="12030075"/>
          <a:ext cx="2047875" cy="2952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ВВОД ЛОГИНА</a:t>
          </a:r>
          <a:r>
            <a:rPr lang="en-US" altLang="ru-RU" sz="1100"/>
            <a:t> </a:t>
          </a:r>
          <a:r>
            <a:rPr lang="ru-RU" altLang="en-US" sz="1100"/>
            <a:t>И ПАРОЛЯ</a:t>
          </a:r>
          <a:endParaRPr lang="ru-RU" altLang="en-US" sz="1100"/>
        </a:p>
      </xdr:txBody>
    </xdr:sp>
    <xdr:clientData/>
  </xdr:twoCellAnchor>
  <xdr:twoCellAnchor>
    <xdr:from>
      <xdr:col>6</xdr:col>
      <xdr:colOff>306070</xdr:colOff>
      <xdr:row>50</xdr:row>
      <xdr:rowOff>58420</xdr:rowOff>
    </xdr:from>
    <xdr:to>
      <xdr:col>11</xdr:col>
      <xdr:colOff>589280</xdr:colOff>
      <xdr:row>60</xdr:row>
      <xdr:rowOff>93345</xdr:rowOff>
    </xdr:to>
    <xdr:cxnSp>
      <xdr:nvCxnSpPr>
        <xdr:cNvPr id="29" name="Прямая со стрелкой 28"/>
        <xdr:cNvCxnSpPr>
          <a:stCxn id="21" idx="5"/>
          <a:endCxn id="24" idx="1"/>
        </xdr:cNvCxnSpPr>
      </xdr:nvCxnSpPr>
      <xdr:spPr>
        <a:xfrm>
          <a:off x="3963670" y="9678670"/>
          <a:ext cx="3331210" cy="19399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371475</xdr:colOff>
      <xdr:row>51</xdr:row>
      <xdr:rowOff>19050</xdr:rowOff>
    </xdr:from>
    <xdr:to>
      <xdr:col>10</xdr:col>
      <xdr:colOff>333375</xdr:colOff>
      <xdr:row>53</xdr:row>
      <xdr:rowOff>161290</xdr:rowOff>
    </xdr:to>
    <xdr:sp>
      <xdr:nvSpPr>
        <xdr:cNvPr id="30" name="Текстовое поле 29"/>
        <xdr:cNvSpPr txBox="1"/>
      </xdr:nvSpPr>
      <xdr:spPr>
        <a:xfrm>
          <a:off x="4638675" y="9829800"/>
          <a:ext cx="1790700" cy="52324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ВВОД НЕВЕРНОГО ЛОГИНА</a:t>
          </a:r>
          <a:r>
            <a:rPr lang="en-US" altLang="ru-RU" sz="1100"/>
            <a:t> </a:t>
          </a:r>
          <a:r>
            <a:rPr lang="ru-RU" altLang="en-US" sz="1100"/>
            <a:t>И</a:t>
          </a:r>
          <a:r>
            <a:rPr lang="en-US" altLang="ru-RU" sz="1100"/>
            <a:t>/</a:t>
          </a:r>
          <a:r>
            <a:rPr lang="ru-RU" altLang="en-US" sz="1100"/>
            <a:t>ИЛИ ПАРОЛЯ</a:t>
          </a:r>
          <a:endParaRPr lang="ru-RU" altLang="en-US" sz="1100"/>
        </a:p>
      </xdr:txBody>
    </xdr:sp>
    <xdr:clientData/>
  </xdr:twoCellAnchor>
  <xdr:twoCellAnchor>
    <xdr:from>
      <xdr:col>7</xdr:col>
      <xdr:colOff>94615</xdr:colOff>
      <xdr:row>63</xdr:row>
      <xdr:rowOff>185420</xdr:rowOff>
    </xdr:from>
    <xdr:to>
      <xdr:col>11</xdr:col>
      <xdr:colOff>260350</xdr:colOff>
      <xdr:row>64</xdr:row>
      <xdr:rowOff>55245</xdr:rowOff>
    </xdr:to>
    <xdr:cxnSp>
      <xdr:nvCxnSpPr>
        <xdr:cNvPr id="31" name="Прямая со стрелкой 30"/>
        <xdr:cNvCxnSpPr>
          <a:stCxn id="23" idx="6"/>
          <a:endCxn id="24" idx="2"/>
        </xdr:cNvCxnSpPr>
      </xdr:nvCxnSpPr>
      <xdr:spPr>
        <a:xfrm>
          <a:off x="4361815" y="12282170"/>
          <a:ext cx="2604135" cy="603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97155</xdr:colOff>
      <xdr:row>45</xdr:row>
      <xdr:rowOff>0</xdr:rowOff>
    </xdr:from>
    <xdr:to>
      <xdr:col>10</xdr:col>
      <xdr:colOff>590550</xdr:colOff>
      <xdr:row>46</xdr:row>
      <xdr:rowOff>66675</xdr:rowOff>
    </xdr:to>
    <xdr:sp>
      <xdr:nvSpPr>
        <xdr:cNvPr id="32" name="Текстовое поле 31"/>
        <xdr:cNvSpPr txBox="1"/>
      </xdr:nvSpPr>
      <xdr:spPr>
        <a:xfrm>
          <a:off x="4364355" y="8667750"/>
          <a:ext cx="2322195" cy="2571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ВВОД ВЕРНОГО ЛОГИНА</a:t>
          </a:r>
          <a:r>
            <a:rPr lang="en-US" altLang="ru-RU" sz="1100"/>
            <a:t> </a:t>
          </a:r>
          <a:r>
            <a:rPr lang="ru-RU" altLang="en-US" sz="1100"/>
            <a:t>И ПАРОЛЯ</a:t>
          </a:r>
          <a:endParaRPr lang="ru-RU" altLang="en-US" sz="1100"/>
        </a:p>
      </xdr:txBody>
    </xdr:sp>
    <xdr:clientData/>
  </xdr:twoCellAnchor>
  <xdr:twoCellAnchor>
    <xdr:from>
      <xdr:col>3</xdr:col>
      <xdr:colOff>257175</xdr:colOff>
      <xdr:row>76</xdr:row>
      <xdr:rowOff>104775</xdr:rowOff>
    </xdr:from>
    <xdr:to>
      <xdr:col>7</xdr:col>
      <xdr:colOff>66040</xdr:colOff>
      <xdr:row>87</xdr:row>
      <xdr:rowOff>56515</xdr:rowOff>
    </xdr:to>
    <xdr:sp>
      <xdr:nvSpPr>
        <xdr:cNvPr id="33" name="Блок-схема: узел 32"/>
        <xdr:cNvSpPr/>
      </xdr:nvSpPr>
      <xdr:spPr>
        <a:xfrm>
          <a:off x="2085975" y="14725650"/>
          <a:ext cx="2247265" cy="2047240"/>
        </a:xfrm>
        <a:prstGeom prst="flowChartConnector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/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ОЖИДАНИЕ ВВОДА ЛОГИНА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9</xdr:col>
      <xdr:colOff>574675</xdr:colOff>
      <xdr:row>76</xdr:row>
      <xdr:rowOff>117475</xdr:rowOff>
    </xdr:from>
    <xdr:to>
      <xdr:col>13</xdr:col>
      <xdr:colOff>383540</xdr:colOff>
      <xdr:row>87</xdr:row>
      <xdr:rowOff>69215</xdr:rowOff>
    </xdr:to>
    <xdr:sp>
      <xdr:nvSpPr>
        <xdr:cNvPr id="34" name="Блок-схема: узел 33"/>
        <xdr:cNvSpPr/>
      </xdr:nvSpPr>
      <xdr:spPr>
        <a:xfrm>
          <a:off x="6061075" y="14738350"/>
          <a:ext cx="2247265" cy="2047240"/>
        </a:xfrm>
        <a:prstGeom prst="flowChartConnector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/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ОЖИДАНИЕ ВВОДА НОВОГО ПАРОЛЯ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16</xdr:col>
      <xdr:colOff>409575</xdr:colOff>
      <xdr:row>76</xdr:row>
      <xdr:rowOff>114300</xdr:rowOff>
    </xdr:from>
    <xdr:to>
      <xdr:col>20</xdr:col>
      <xdr:colOff>218440</xdr:colOff>
      <xdr:row>87</xdr:row>
      <xdr:rowOff>66040</xdr:rowOff>
    </xdr:to>
    <xdr:sp>
      <xdr:nvSpPr>
        <xdr:cNvPr id="35" name="Блок-схема: узел 34"/>
        <xdr:cNvSpPr/>
      </xdr:nvSpPr>
      <xdr:spPr>
        <a:xfrm>
          <a:off x="10163175" y="14735175"/>
          <a:ext cx="2247265" cy="2047240"/>
        </a:xfrm>
        <a:prstGeom prst="flowChartConnector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/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ОЖИДАНИЕ ВВОДА РЕЗЕРВНОГО КОДА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7</xdr:col>
      <xdr:colOff>66040</xdr:colOff>
      <xdr:row>81</xdr:row>
      <xdr:rowOff>175895</xdr:rowOff>
    </xdr:from>
    <xdr:to>
      <xdr:col>9</xdr:col>
      <xdr:colOff>574675</xdr:colOff>
      <xdr:row>81</xdr:row>
      <xdr:rowOff>188595</xdr:rowOff>
    </xdr:to>
    <xdr:cxnSp>
      <xdr:nvCxnSpPr>
        <xdr:cNvPr id="36" name="Прямая со стрелкой 35"/>
        <xdr:cNvCxnSpPr>
          <a:stCxn id="33" idx="6"/>
          <a:endCxn id="34" idx="2"/>
        </xdr:cNvCxnSpPr>
      </xdr:nvCxnSpPr>
      <xdr:spPr>
        <a:xfrm>
          <a:off x="4333240" y="15749270"/>
          <a:ext cx="1727835" cy="127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383540</xdr:colOff>
      <xdr:row>81</xdr:row>
      <xdr:rowOff>185420</xdr:rowOff>
    </xdr:from>
    <xdr:to>
      <xdr:col>16</xdr:col>
      <xdr:colOff>409575</xdr:colOff>
      <xdr:row>81</xdr:row>
      <xdr:rowOff>188595</xdr:rowOff>
    </xdr:to>
    <xdr:cxnSp>
      <xdr:nvCxnSpPr>
        <xdr:cNvPr id="37" name="Прямая со стрелкой 36"/>
        <xdr:cNvCxnSpPr>
          <a:stCxn id="34" idx="6"/>
          <a:endCxn id="35" idx="2"/>
        </xdr:cNvCxnSpPr>
      </xdr:nvCxnSpPr>
      <xdr:spPr>
        <a:xfrm flipV="1">
          <a:off x="8308340" y="15758795"/>
          <a:ext cx="1854835" cy="31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95250</xdr:colOff>
      <xdr:row>80</xdr:row>
      <xdr:rowOff>114300</xdr:rowOff>
    </xdr:from>
    <xdr:to>
      <xdr:col>10</xdr:col>
      <xdr:colOff>38100</xdr:colOff>
      <xdr:row>82</xdr:row>
      <xdr:rowOff>74930</xdr:rowOff>
    </xdr:to>
    <xdr:sp>
      <xdr:nvSpPr>
        <xdr:cNvPr id="38" name="Текстовое поле 37"/>
        <xdr:cNvSpPr txBox="1"/>
      </xdr:nvSpPr>
      <xdr:spPr>
        <a:xfrm>
          <a:off x="4362450" y="15497175"/>
          <a:ext cx="1771650" cy="34163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ВВОД ВЕРНОГО ЛОГИНА</a:t>
          </a:r>
          <a:endParaRPr lang="ru-RU" altLang="en-US" sz="1100"/>
        </a:p>
      </xdr:txBody>
    </xdr:sp>
    <xdr:clientData/>
  </xdr:twoCellAnchor>
  <xdr:twoCellAnchor>
    <xdr:from>
      <xdr:col>13</xdr:col>
      <xdr:colOff>514350</xdr:colOff>
      <xdr:row>80</xdr:row>
      <xdr:rowOff>114300</xdr:rowOff>
    </xdr:from>
    <xdr:to>
      <xdr:col>16</xdr:col>
      <xdr:colOff>323215</xdr:colOff>
      <xdr:row>82</xdr:row>
      <xdr:rowOff>85090</xdr:rowOff>
    </xdr:to>
    <xdr:sp>
      <xdr:nvSpPr>
        <xdr:cNvPr id="39" name="Текстовое поле 38"/>
        <xdr:cNvSpPr txBox="1"/>
      </xdr:nvSpPr>
      <xdr:spPr>
        <a:xfrm>
          <a:off x="8439150" y="15497175"/>
          <a:ext cx="1637665" cy="35179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ВВОД НОВОГО </a:t>
          </a:r>
          <a:r>
            <a:rPr lang="ru-RU" sz="1100"/>
            <a:t>ПАРОЛЯ</a:t>
          </a:r>
          <a:endParaRPr lang="ru-RU" sz="1100"/>
        </a:p>
      </xdr:txBody>
    </xdr:sp>
    <xdr:clientData/>
  </xdr:twoCellAnchor>
  <xdr:twoCellAnchor>
    <xdr:from>
      <xdr:col>8</xdr:col>
      <xdr:colOff>517525</xdr:colOff>
      <xdr:row>93</xdr:row>
      <xdr:rowOff>22225</xdr:rowOff>
    </xdr:from>
    <xdr:to>
      <xdr:col>12</xdr:col>
      <xdr:colOff>326390</xdr:colOff>
      <xdr:row>103</xdr:row>
      <xdr:rowOff>164465</xdr:rowOff>
    </xdr:to>
    <xdr:sp>
      <xdr:nvSpPr>
        <xdr:cNvPr id="40" name="Блок-схема: узел 39"/>
        <xdr:cNvSpPr/>
      </xdr:nvSpPr>
      <xdr:spPr>
        <a:xfrm>
          <a:off x="5394325" y="17881600"/>
          <a:ext cx="2247265" cy="2047240"/>
        </a:xfrm>
        <a:prstGeom prst="flowChartConnector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ОШИБКА ВОССТАНОВЛЕНИЯ ПАРОЛЯ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6</xdr:col>
      <xdr:colOff>346710</xdr:colOff>
      <xdr:row>85</xdr:row>
      <xdr:rowOff>137795</xdr:rowOff>
    </xdr:from>
    <xdr:to>
      <xdr:col>9</xdr:col>
      <xdr:colOff>236855</xdr:colOff>
      <xdr:row>94</xdr:row>
      <xdr:rowOff>131445</xdr:rowOff>
    </xdr:to>
    <xdr:cxnSp>
      <xdr:nvCxnSpPr>
        <xdr:cNvPr id="41" name="Прямая со стрелкой 40"/>
        <xdr:cNvCxnSpPr>
          <a:stCxn id="33" idx="5"/>
          <a:endCxn id="40" idx="1"/>
        </xdr:cNvCxnSpPr>
      </xdr:nvCxnSpPr>
      <xdr:spPr>
        <a:xfrm>
          <a:off x="4004310" y="16473170"/>
          <a:ext cx="1718945" cy="17081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41275</xdr:colOff>
      <xdr:row>90</xdr:row>
      <xdr:rowOff>88900</xdr:rowOff>
    </xdr:from>
    <xdr:to>
      <xdr:col>9</xdr:col>
      <xdr:colOff>40640</xdr:colOff>
      <xdr:row>92</xdr:row>
      <xdr:rowOff>40005</xdr:rowOff>
    </xdr:to>
    <xdr:sp>
      <xdr:nvSpPr>
        <xdr:cNvPr id="42" name="Текстовое поле 41"/>
        <xdr:cNvSpPr txBox="1"/>
      </xdr:nvSpPr>
      <xdr:spPr>
        <a:xfrm>
          <a:off x="3698875" y="17376775"/>
          <a:ext cx="1828165" cy="33210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ВВОД НЕВЕРНОГО ЛОГИНА</a:t>
          </a:r>
          <a:endParaRPr lang="ru-RU" altLang="en-US" sz="1100"/>
        </a:p>
      </xdr:txBody>
    </xdr:sp>
    <xdr:clientData/>
  </xdr:twoCellAnchor>
  <xdr:twoCellAnchor>
    <xdr:from>
      <xdr:col>11</xdr:col>
      <xdr:colOff>607060</xdr:colOff>
      <xdr:row>85</xdr:row>
      <xdr:rowOff>147320</xdr:rowOff>
    </xdr:from>
    <xdr:to>
      <xdr:col>17</xdr:col>
      <xdr:colOff>128905</xdr:colOff>
      <xdr:row>94</xdr:row>
      <xdr:rowOff>131445</xdr:rowOff>
    </xdr:to>
    <xdr:cxnSp>
      <xdr:nvCxnSpPr>
        <xdr:cNvPr id="43" name="Прямая со стрелкой 42"/>
        <xdr:cNvCxnSpPr>
          <a:stCxn id="35" idx="3"/>
          <a:endCxn id="40" idx="7"/>
        </xdr:cNvCxnSpPr>
      </xdr:nvCxnSpPr>
      <xdr:spPr>
        <a:xfrm flipH="1">
          <a:off x="7312660" y="16482695"/>
          <a:ext cx="3179445" cy="16986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149225</xdr:colOff>
      <xdr:row>89</xdr:row>
      <xdr:rowOff>177800</xdr:rowOff>
    </xdr:from>
    <xdr:to>
      <xdr:col>17</xdr:col>
      <xdr:colOff>272415</xdr:colOff>
      <xdr:row>91</xdr:row>
      <xdr:rowOff>61595</xdr:rowOff>
    </xdr:to>
    <xdr:sp>
      <xdr:nvSpPr>
        <xdr:cNvPr id="44" name="Текстовое поле 43"/>
        <xdr:cNvSpPr txBox="1"/>
      </xdr:nvSpPr>
      <xdr:spPr>
        <a:xfrm>
          <a:off x="8074025" y="17275175"/>
          <a:ext cx="2561590" cy="26479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ВВОД НЕВЕРНОГО РЕЗЕРВНОГО КОДА</a:t>
          </a:r>
          <a:endParaRPr lang="ru-RU" altLang="en-US" sz="1100"/>
        </a:p>
      </xdr:txBody>
    </xdr:sp>
    <xdr:clientData/>
  </xdr:twoCellAnchor>
  <xdr:twoCellAnchor>
    <xdr:from>
      <xdr:col>19</xdr:col>
      <xdr:colOff>463550</xdr:colOff>
      <xdr:row>96</xdr:row>
      <xdr:rowOff>73025</xdr:rowOff>
    </xdr:from>
    <xdr:to>
      <xdr:col>23</xdr:col>
      <xdr:colOff>272415</xdr:colOff>
      <xdr:row>107</xdr:row>
      <xdr:rowOff>24765</xdr:rowOff>
    </xdr:to>
    <xdr:sp>
      <xdr:nvSpPr>
        <xdr:cNvPr id="45" name="Блок-схема: узел 44"/>
        <xdr:cNvSpPr/>
      </xdr:nvSpPr>
      <xdr:spPr>
        <a:xfrm>
          <a:off x="12045950" y="18503900"/>
          <a:ext cx="2247265" cy="2047240"/>
        </a:xfrm>
        <a:prstGeom prst="flowChartConnector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ru-RU" altLang="en-US" sz="1100"/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ru-RU" altLang="en-US" sz="1100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ПАРОЛЬ ВОССТАНОВЛЕН</a:t>
          </a:r>
          <a:endParaRPr lang="ru-RU" altLang="en-US" sz="1100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19</xdr:col>
      <xdr:colOff>219075</xdr:colOff>
      <xdr:row>91</xdr:row>
      <xdr:rowOff>180975</xdr:rowOff>
    </xdr:from>
    <xdr:to>
      <xdr:col>23</xdr:col>
      <xdr:colOff>48260</xdr:colOff>
      <xdr:row>93</xdr:row>
      <xdr:rowOff>74295</xdr:rowOff>
    </xdr:to>
    <xdr:sp>
      <xdr:nvSpPr>
        <xdr:cNvPr id="47" name="Текстовое поле 46"/>
        <xdr:cNvSpPr txBox="1"/>
      </xdr:nvSpPr>
      <xdr:spPr>
        <a:xfrm>
          <a:off x="11801475" y="17659350"/>
          <a:ext cx="2267585" cy="2743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ВВОД ВЕРНОГО РЕЗЕРВНОГО КОДА</a:t>
          </a:r>
          <a:endParaRPr lang="ru-RU" altLang="en-US" sz="1100"/>
        </a:p>
      </xdr:txBody>
    </xdr:sp>
    <xdr:clientData/>
  </xdr:twoCellAnchor>
  <xdr:twoCellAnchor>
    <xdr:from>
      <xdr:col>3</xdr:col>
      <xdr:colOff>257175</xdr:colOff>
      <xdr:row>81</xdr:row>
      <xdr:rowOff>175895</xdr:rowOff>
    </xdr:from>
    <xdr:to>
      <xdr:col>9</xdr:col>
      <xdr:colOff>236855</xdr:colOff>
      <xdr:row>102</xdr:row>
      <xdr:rowOff>55245</xdr:rowOff>
    </xdr:to>
    <xdr:cxnSp>
      <xdr:nvCxnSpPr>
        <xdr:cNvPr id="48" name="Криволинейное соединение 47"/>
        <xdr:cNvCxnSpPr/>
      </xdr:nvCxnSpPr>
      <xdr:spPr>
        <a:xfrm rot="5400000" flipH="1">
          <a:off x="1964690" y="15870555"/>
          <a:ext cx="3879850" cy="3637280"/>
        </a:xfrm>
        <a:prstGeom prst="curvedConnector4">
          <a:avLst>
            <a:gd name="adj1" fmla="val 3322"/>
            <a:gd name="adj2" fmla="val 117021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396875</xdr:colOff>
      <xdr:row>101</xdr:row>
      <xdr:rowOff>53975</xdr:rowOff>
    </xdr:from>
    <xdr:to>
      <xdr:col>7</xdr:col>
      <xdr:colOff>186690</xdr:colOff>
      <xdr:row>102</xdr:row>
      <xdr:rowOff>147320</xdr:rowOff>
    </xdr:to>
    <xdr:sp>
      <xdr:nvSpPr>
        <xdr:cNvPr id="49" name="Текстовое поле 48"/>
        <xdr:cNvSpPr txBox="1"/>
      </xdr:nvSpPr>
      <xdr:spPr>
        <a:xfrm>
          <a:off x="2225675" y="19437350"/>
          <a:ext cx="2228215" cy="28384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ВОЗВРАТ К ПОЛЮ ВВОДА ЛОГИНА</a:t>
          </a:r>
          <a:endParaRPr lang="ru-RU" altLang="en-US" sz="1100"/>
        </a:p>
      </xdr:txBody>
    </xdr:sp>
    <xdr:clientData/>
  </xdr:twoCellAnchor>
  <xdr:twoCellAnchor>
    <xdr:from>
      <xdr:col>11</xdr:col>
      <xdr:colOff>607060</xdr:colOff>
      <xdr:row>87</xdr:row>
      <xdr:rowOff>65405</xdr:rowOff>
    </xdr:from>
    <xdr:to>
      <xdr:col>18</xdr:col>
      <xdr:colOff>314325</xdr:colOff>
      <xdr:row>102</xdr:row>
      <xdr:rowOff>54610</xdr:rowOff>
    </xdr:to>
    <xdr:cxnSp>
      <xdr:nvCxnSpPr>
        <xdr:cNvPr id="51" name="Криволинейное соединение 50"/>
        <xdr:cNvCxnSpPr>
          <a:stCxn id="40" idx="5"/>
          <a:endCxn id="35" idx="4"/>
        </xdr:cNvCxnSpPr>
      </xdr:nvCxnSpPr>
      <xdr:spPr>
        <a:xfrm rot="5400000" flipH="1" flipV="1">
          <a:off x="7876540" y="16217900"/>
          <a:ext cx="2846705" cy="3974465"/>
        </a:xfrm>
        <a:prstGeom prst="curvedConnector3">
          <a:avLst>
            <a:gd name="adj1" fmla="val 149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438150</xdr:colOff>
      <xdr:row>98</xdr:row>
      <xdr:rowOff>171450</xdr:rowOff>
    </xdr:from>
    <xdr:to>
      <xdr:col>18</xdr:col>
      <xdr:colOff>359410</xdr:colOff>
      <xdr:row>100</xdr:row>
      <xdr:rowOff>74295</xdr:rowOff>
    </xdr:to>
    <xdr:sp>
      <xdr:nvSpPr>
        <xdr:cNvPr id="52" name="Текстовое поле 51"/>
        <xdr:cNvSpPr txBox="1"/>
      </xdr:nvSpPr>
      <xdr:spPr>
        <a:xfrm>
          <a:off x="8362950" y="18983325"/>
          <a:ext cx="2969260" cy="28384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ru-RU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ВОЗВРАТ К ПОЛЮ ВВОДА РЕЗЕРВНОГО КОДА</a:t>
          </a:r>
          <a:endParaRPr lang="ru-RU" altLang="en-US" sz="1100"/>
        </a:p>
      </xdr:txBody>
    </xdr:sp>
    <xdr:clientData/>
  </xdr:twoCellAnchor>
  <xdr:twoCellAnchor>
    <xdr:from>
      <xdr:col>19</xdr:col>
      <xdr:colOff>499110</xdr:colOff>
      <xdr:row>85</xdr:row>
      <xdr:rowOff>147320</xdr:rowOff>
    </xdr:from>
    <xdr:to>
      <xdr:col>21</xdr:col>
      <xdr:colOff>368300</xdr:colOff>
      <xdr:row>96</xdr:row>
      <xdr:rowOff>73025</xdr:rowOff>
    </xdr:to>
    <xdr:cxnSp>
      <xdr:nvCxnSpPr>
        <xdr:cNvPr id="54" name="Прямая со стрелкой 53"/>
        <xdr:cNvCxnSpPr>
          <a:stCxn id="35" idx="5"/>
          <a:endCxn id="45" idx="0"/>
        </xdr:cNvCxnSpPr>
      </xdr:nvCxnSpPr>
      <xdr:spPr>
        <a:xfrm>
          <a:off x="12081510" y="16482695"/>
          <a:ext cx="1088390" cy="202120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topLeftCell="A72" workbookViewId="0">
      <selection activeCell="P99" sqref="P99"/>
    </sheetView>
  </sheetViews>
  <sheetFormatPr defaultColWidth="9.14285714285714" defaultRowHeight="15"/>
  <cols>
    <col min="2" max="2" width="10" customWidth="1"/>
  </cols>
  <sheetData>
    <row r="1" ht="15.75" spans="1:1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ht="15.75" spans="1:1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>
      <c r="A3" s="16" t="s">
        <v>2</v>
      </c>
      <c r="B3" s="16"/>
      <c r="C3" s="16"/>
      <c r="D3" s="16"/>
      <c r="E3" s="16" t="s">
        <v>3</v>
      </c>
      <c r="F3" s="16"/>
      <c r="G3" s="16"/>
      <c r="H3" s="16"/>
      <c r="I3" s="16" t="s">
        <v>4</v>
      </c>
      <c r="J3" s="16"/>
      <c r="K3" s="16"/>
      <c r="L3" s="16"/>
    </row>
    <row r="4" ht="48" customHeight="1" spans="1:12">
      <c r="A4" s="17" t="s">
        <v>5</v>
      </c>
      <c r="B4" s="17"/>
      <c r="C4" s="17"/>
      <c r="D4" s="17"/>
      <c r="E4" s="17" t="s">
        <v>6</v>
      </c>
      <c r="F4" s="17"/>
      <c r="G4" s="17"/>
      <c r="H4" s="17"/>
      <c r="I4" s="17" t="s">
        <v>7</v>
      </c>
      <c r="J4" s="17"/>
      <c r="K4" s="17"/>
      <c r="L4" s="17"/>
    </row>
    <row r="5" ht="19" customHeight="1" spans="1:1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ht="15.75" spans="1:12">
      <c r="A6" s="19" t="s">
        <v>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ht="15.75" spans="1:12">
      <c r="A7" s="19" t="s">
        <v>1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>
      <c r="A8" s="16">
        <v>2</v>
      </c>
      <c r="B8" s="16"/>
      <c r="C8" s="16">
        <v>3</v>
      </c>
      <c r="D8" s="16"/>
      <c r="E8" s="16">
        <v>4</v>
      </c>
      <c r="F8" s="16"/>
      <c r="G8" s="16">
        <v>49</v>
      </c>
      <c r="H8" s="16"/>
      <c r="I8" s="16">
        <v>50</v>
      </c>
      <c r="J8" s="16"/>
      <c r="K8" s="16">
        <v>51</v>
      </c>
      <c r="L8" s="16"/>
    </row>
    <row r="9" ht="90" customHeight="1" spans="1:12">
      <c r="A9" s="17" t="s">
        <v>5</v>
      </c>
      <c r="B9" s="17"/>
      <c r="C9" s="17" t="s">
        <v>6</v>
      </c>
      <c r="D9" s="17"/>
      <c r="E9" s="17" t="s">
        <v>6</v>
      </c>
      <c r="F9" s="17"/>
      <c r="G9" s="17" t="s">
        <v>6</v>
      </c>
      <c r="H9" s="17"/>
      <c r="I9" s="17" t="s">
        <v>6</v>
      </c>
      <c r="J9" s="17"/>
      <c r="K9" s="17" t="s">
        <v>7</v>
      </c>
      <c r="L9" s="17"/>
    </row>
    <row r="10" ht="64" customHeight="1"/>
    <row r="11" ht="15.75" spans="1:12">
      <c r="A11" s="15" t="s">
        <v>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ht="15.75" spans="1:12">
      <c r="A12" s="15" t="s">
        <v>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6" t="s">
        <v>10</v>
      </c>
      <c r="B13" s="16"/>
      <c r="C13" s="16"/>
      <c r="D13" s="16"/>
      <c r="E13" s="16" t="s">
        <v>11</v>
      </c>
      <c r="F13" s="16"/>
      <c r="G13" s="16"/>
      <c r="H13" s="16"/>
      <c r="I13" s="16" t="s">
        <v>12</v>
      </c>
      <c r="J13" s="16"/>
      <c r="K13" s="16"/>
      <c r="L13" s="16"/>
    </row>
    <row r="14" ht="45" customHeight="1" spans="1:12">
      <c r="A14" s="17" t="s">
        <v>5</v>
      </c>
      <c r="B14" s="17"/>
      <c r="C14" s="17"/>
      <c r="D14" s="17"/>
      <c r="E14" s="17" t="s">
        <v>6</v>
      </c>
      <c r="F14" s="17"/>
      <c r="G14" s="17"/>
      <c r="H14" s="17"/>
      <c r="I14" s="17" t="s">
        <v>13</v>
      </c>
      <c r="J14" s="17"/>
      <c r="K14" s="17"/>
      <c r="L14" s="17"/>
    </row>
    <row r="15" spans="1:1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ht="15.75" spans="1:12">
      <c r="A16" s="19" t="s">
        <v>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ht="15.75" spans="1:12">
      <c r="A17" s="19" t="s">
        <v>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2">
      <c r="A18" s="16">
        <v>7</v>
      </c>
      <c r="B18" s="16"/>
      <c r="C18" s="16">
        <v>8</v>
      </c>
      <c r="D18" s="16"/>
      <c r="E18" s="16">
        <v>9</v>
      </c>
      <c r="F18" s="16"/>
      <c r="G18" s="16">
        <v>127</v>
      </c>
      <c r="H18" s="16"/>
      <c r="I18" s="16">
        <v>128</v>
      </c>
      <c r="J18" s="16"/>
      <c r="K18" s="16">
        <v>129</v>
      </c>
      <c r="L18" s="16"/>
    </row>
    <row r="19" ht="99" customHeight="1" spans="1:12">
      <c r="A19" s="17" t="s">
        <v>5</v>
      </c>
      <c r="B19" s="17"/>
      <c r="C19" s="17" t="s">
        <v>6</v>
      </c>
      <c r="D19" s="17"/>
      <c r="E19" s="17" t="s">
        <v>6</v>
      </c>
      <c r="F19" s="17"/>
      <c r="G19" s="17" t="s">
        <v>6</v>
      </c>
      <c r="H19" s="17"/>
      <c r="I19" s="17" t="s">
        <v>6</v>
      </c>
      <c r="J19" s="17"/>
      <c r="K19" s="17" t="s">
        <v>13</v>
      </c>
      <c r="L19" s="17"/>
    </row>
    <row r="20" ht="76" customHeight="1"/>
    <row r="21" ht="15.75" spans="1:12">
      <c r="A21" s="15" t="s">
        <v>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ht="15.75" spans="1:12">
      <c r="A22" s="15" t="s">
        <v>14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>
      <c r="A23" s="20" t="s">
        <v>2</v>
      </c>
      <c r="B23" s="21"/>
      <c r="C23" s="21"/>
      <c r="D23" s="21"/>
      <c r="E23" s="21"/>
      <c r="F23" s="22"/>
      <c r="G23" s="20" t="s">
        <v>3</v>
      </c>
      <c r="H23" s="21"/>
      <c r="I23" s="21"/>
      <c r="J23" s="21"/>
      <c r="K23" s="21"/>
      <c r="L23" s="22"/>
    </row>
    <row r="24" ht="34" customHeight="1" spans="1:12">
      <c r="A24" s="23" t="s">
        <v>15</v>
      </c>
      <c r="B24" s="24"/>
      <c r="C24" s="24"/>
      <c r="D24" s="24"/>
      <c r="E24" s="24"/>
      <c r="F24" s="25"/>
      <c r="G24" s="23" t="s">
        <v>16</v>
      </c>
      <c r="H24" s="24"/>
      <c r="I24" s="24"/>
      <c r="J24" s="24"/>
      <c r="K24" s="24"/>
      <c r="L24" s="25"/>
    </row>
    <row r="25" spans="1:1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ht="15.75" spans="1:12">
      <c r="A26" s="19" t="s">
        <v>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ht="15.75" spans="1:12">
      <c r="A27" s="19" t="s">
        <v>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>
      <c r="A28" s="16">
        <v>2</v>
      </c>
      <c r="B28" s="16"/>
      <c r="C28" s="16">
        <v>3</v>
      </c>
      <c r="D28" s="16"/>
      <c r="E28" s="16">
        <v>4</v>
      </c>
      <c r="F28" s="16"/>
      <c r="G28" s="16">
        <v>49</v>
      </c>
      <c r="H28" s="16"/>
      <c r="I28" s="16">
        <v>50</v>
      </c>
      <c r="J28" s="16"/>
      <c r="K28" s="16">
        <v>51</v>
      </c>
      <c r="L28" s="16"/>
    </row>
    <row r="29" ht="61" customHeight="1" spans="1:12">
      <c r="A29" s="17" t="s">
        <v>15</v>
      </c>
      <c r="B29" s="17"/>
      <c r="C29" s="17" t="s">
        <v>16</v>
      </c>
      <c r="D29" s="17"/>
      <c r="E29" s="17" t="s">
        <v>16</v>
      </c>
      <c r="F29" s="17"/>
      <c r="G29" s="17" t="s">
        <v>16</v>
      </c>
      <c r="H29" s="17"/>
      <c r="I29" s="17" t="s">
        <v>16</v>
      </c>
      <c r="J29" s="17"/>
      <c r="K29" s="17" t="s">
        <v>15</v>
      </c>
      <c r="L29" s="17"/>
    </row>
    <row r="30" ht="65" customHeight="1"/>
    <row r="31" ht="15.75" spans="1:12">
      <c r="A31" s="15" t="s">
        <v>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ht="15.75" spans="1:12">
      <c r="A32" s="15" t="s">
        <v>17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>
      <c r="A33" s="16" t="s">
        <v>18</v>
      </c>
      <c r="B33" s="16"/>
      <c r="C33" s="16"/>
      <c r="D33" s="16"/>
      <c r="E33" s="16" t="s">
        <v>19</v>
      </c>
      <c r="F33" s="16"/>
      <c r="G33" s="16"/>
      <c r="H33" s="16"/>
      <c r="I33" s="16" t="s">
        <v>20</v>
      </c>
      <c r="J33" s="16"/>
      <c r="K33" s="16"/>
      <c r="L33" s="16"/>
    </row>
    <row r="34" ht="37" customHeight="1" spans="1:12">
      <c r="A34" s="17" t="s">
        <v>21</v>
      </c>
      <c r="B34" s="17"/>
      <c r="C34" s="17"/>
      <c r="D34" s="17"/>
      <c r="E34" s="17" t="s">
        <v>22</v>
      </c>
      <c r="F34" s="17"/>
      <c r="G34" s="17"/>
      <c r="H34" s="17"/>
      <c r="I34" s="17" t="s">
        <v>21</v>
      </c>
      <c r="J34" s="17"/>
      <c r="K34" s="17"/>
      <c r="L34" s="17"/>
    </row>
    <row r="35" spans="1:1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ht="15.75" spans="1:12">
      <c r="A36" s="19" t="s">
        <v>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ht="15.75" spans="1:12">
      <c r="A37" s="19" t="s">
        <v>17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spans="1:12">
      <c r="A38" s="16">
        <v>5</v>
      </c>
      <c r="B38" s="16"/>
      <c r="C38" s="16">
        <v>6</v>
      </c>
      <c r="D38" s="16"/>
      <c r="E38" s="16">
        <v>7</v>
      </c>
      <c r="F38" s="16"/>
      <c r="G38" s="16">
        <v>22</v>
      </c>
      <c r="H38" s="16"/>
      <c r="I38" s="16">
        <v>23</v>
      </c>
      <c r="J38" s="16"/>
      <c r="K38" s="16">
        <v>24</v>
      </c>
      <c r="L38" s="16"/>
    </row>
    <row r="39" ht="53" customHeight="1" spans="1:12">
      <c r="A39" s="17" t="s">
        <v>21</v>
      </c>
      <c r="B39" s="17"/>
      <c r="C39" s="17" t="s">
        <v>22</v>
      </c>
      <c r="D39" s="17"/>
      <c r="E39" s="17" t="s">
        <v>22</v>
      </c>
      <c r="F39" s="17"/>
      <c r="G39" s="17" t="s">
        <v>22</v>
      </c>
      <c r="H39" s="17"/>
      <c r="I39" s="17" t="s">
        <v>22</v>
      </c>
      <c r="J39" s="17"/>
      <c r="K39" s="17" t="s">
        <v>21</v>
      </c>
      <c r="L39" s="17"/>
    </row>
    <row r="40" ht="62" customHeight="1"/>
    <row r="41" ht="15.75" spans="1:12">
      <c r="A41" s="15" t="s">
        <v>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ht="15.75" spans="1:12">
      <c r="A42" s="15" t="s">
        <v>23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>
      <c r="A43" s="16" t="s">
        <v>18</v>
      </c>
      <c r="B43" s="16"/>
      <c r="C43" s="16"/>
      <c r="D43" s="16"/>
      <c r="E43" s="16" t="s">
        <v>19</v>
      </c>
      <c r="F43" s="16"/>
      <c r="G43" s="16"/>
      <c r="H43" s="16"/>
      <c r="I43" s="16" t="s">
        <v>20</v>
      </c>
      <c r="J43" s="16"/>
      <c r="K43" s="16"/>
      <c r="L43" s="16"/>
    </row>
    <row r="44" ht="31" customHeight="1" spans="1:12">
      <c r="A44" s="17" t="s">
        <v>21</v>
      </c>
      <c r="B44" s="17"/>
      <c r="C44" s="17"/>
      <c r="D44" s="17"/>
      <c r="E44" s="17" t="s">
        <v>22</v>
      </c>
      <c r="F44" s="17"/>
      <c r="G44" s="17"/>
      <c r="H44" s="17"/>
      <c r="I44" s="17" t="s">
        <v>21</v>
      </c>
      <c r="J44" s="17"/>
      <c r="K44" s="17"/>
      <c r="L44" s="17"/>
    </row>
    <row r="45" spans="1:1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ht="15.75" spans="1:12">
      <c r="A46" s="19" t="s">
        <v>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ht="15.75" spans="1:12">
      <c r="A47" s="19" t="s">
        <v>17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spans="1:12">
      <c r="A48" s="16">
        <v>5</v>
      </c>
      <c r="B48" s="16"/>
      <c r="C48" s="16">
        <v>6</v>
      </c>
      <c r="D48" s="16"/>
      <c r="E48" s="16">
        <v>7</v>
      </c>
      <c r="F48" s="16"/>
      <c r="G48" s="16">
        <v>22</v>
      </c>
      <c r="H48" s="16"/>
      <c r="I48" s="16">
        <v>23</v>
      </c>
      <c r="J48" s="16"/>
      <c r="K48" s="16">
        <v>24</v>
      </c>
      <c r="L48" s="16"/>
    </row>
    <row r="49" ht="50" customHeight="1" spans="1:12">
      <c r="A49" s="17" t="s">
        <v>21</v>
      </c>
      <c r="B49" s="17"/>
      <c r="C49" s="17" t="s">
        <v>22</v>
      </c>
      <c r="D49" s="17"/>
      <c r="E49" s="17" t="s">
        <v>22</v>
      </c>
      <c r="F49" s="17"/>
      <c r="G49" s="17" t="s">
        <v>22</v>
      </c>
      <c r="H49" s="17"/>
      <c r="I49" s="17" t="s">
        <v>22</v>
      </c>
      <c r="J49" s="17"/>
      <c r="K49" s="17" t="s">
        <v>21</v>
      </c>
      <c r="L49" s="17"/>
    </row>
    <row r="50" ht="58" customHeight="1"/>
    <row r="51" ht="15.75" spans="1:12">
      <c r="A51" s="15" t="s">
        <v>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ht="15.75" spans="1:12">
      <c r="A52" s="15" t="s">
        <v>24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spans="1:12">
      <c r="A53" s="20" t="s">
        <v>25</v>
      </c>
      <c r="B53" s="21"/>
      <c r="C53" s="21"/>
      <c r="D53" s="21"/>
      <c r="E53" s="21"/>
      <c r="F53" s="22"/>
      <c r="G53" s="20" t="s">
        <v>26</v>
      </c>
      <c r="H53" s="21"/>
      <c r="I53" s="21"/>
      <c r="J53" s="21"/>
      <c r="K53" s="21"/>
      <c r="L53" s="22"/>
    </row>
    <row r="54" spans="1:12">
      <c r="A54" s="23" t="s">
        <v>27</v>
      </c>
      <c r="B54" s="24"/>
      <c r="C54" s="24"/>
      <c r="D54" s="24"/>
      <c r="E54" s="24"/>
      <c r="F54" s="25"/>
      <c r="G54" s="23" t="s">
        <v>28</v>
      </c>
      <c r="H54" s="24"/>
      <c r="I54" s="24"/>
      <c r="J54" s="24"/>
      <c r="K54" s="24"/>
      <c r="L54" s="25"/>
    </row>
    <row r="55" spans="1:1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ht="15.75" spans="1:12">
      <c r="A56" s="19" t="s">
        <v>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ht="15.75" spans="1:12">
      <c r="A57" s="19" t="s">
        <v>24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spans="1:12">
      <c r="A58" s="20" t="s">
        <v>29</v>
      </c>
      <c r="B58" s="21"/>
      <c r="C58" s="22"/>
      <c r="D58" s="20" t="s">
        <v>30</v>
      </c>
      <c r="E58" s="21"/>
      <c r="F58" s="22"/>
      <c r="G58" s="20" t="s">
        <v>31</v>
      </c>
      <c r="H58" s="21"/>
      <c r="I58" s="22"/>
      <c r="J58" s="20" t="s">
        <v>32</v>
      </c>
      <c r="K58" s="21"/>
      <c r="L58" s="22"/>
    </row>
    <row r="59" ht="54" customHeight="1" spans="1:12">
      <c r="A59" s="23" t="s">
        <v>27</v>
      </c>
      <c r="B59" s="24"/>
      <c r="C59" s="25"/>
      <c r="D59" s="23" t="s">
        <v>27</v>
      </c>
      <c r="E59" s="24"/>
      <c r="F59" s="25"/>
      <c r="G59" s="23" t="s">
        <v>27</v>
      </c>
      <c r="H59" s="24"/>
      <c r="I59" s="25"/>
      <c r="J59" s="23" t="s">
        <v>28</v>
      </c>
      <c r="K59" s="24"/>
      <c r="L59" s="25"/>
    </row>
    <row r="60" ht="60" customHeight="1"/>
    <row r="61" ht="15.75" spans="1:12">
      <c r="A61" s="15" t="s">
        <v>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ht="15.75" spans="1:12">
      <c r="A62" s="15" t="s">
        <v>33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spans="1:12">
      <c r="A63" s="16" t="s">
        <v>34</v>
      </c>
      <c r="B63" s="16"/>
      <c r="C63" s="16"/>
      <c r="D63" s="16"/>
      <c r="E63" s="16" t="s">
        <v>35</v>
      </c>
      <c r="F63" s="16"/>
      <c r="G63" s="16"/>
      <c r="H63" s="16"/>
      <c r="I63" s="20" t="s">
        <v>36</v>
      </c>
      <c r="J63" s="21"/>
      <c r="K63" s="21"/>
      <c r="L63" s="22"/>
    </row>
    <row r="64" ht="45" customHeight="1" spans="1:12">
      <c r="A64" s="17" t="s">
        <v>37</v>
      </c>
      <c r="B64" s="17"/>
      <c r="C64" s="17"/>
      <c r="D64" s="17"/>
      <c r="E64" s="17" t="s">
        <v>38</v>
      </c>
      <c r="F64" s="17"/>
      <c r="G64" s="17"/>
      <c r="H64" s="17"/>
      <c r="I64" s="17" t="s">
        <v>39</v>
      </c>
      <c r="J64" s="17"/>
      <c r="K64" s="17"/>
      <c r="L64" s="17"/>
    </row>
    <row r="65" spans="1:1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ht="15.75" spans="1:12">
      <c r="A66" s="19" t="s">
        <v>8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 ht="15.75" spans="1:12">
      <c r="A67" s="19" t="s">
        <v>33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spans="1:12">
      <c r="A68" s="16" t="s">
        <v>34</v>
      </c>
      <c r="B68" s="16"/>
      <c r="C68" s="16" t="s">
        <v>40</v>
      </c>
      <c r="D68" s="16"/>
      <c r="E68" s="16" t="s">
        <v>41</v>
      </c>
      <c r="F68" s="16"/>
      <c r="G68" s="16" t="s">
        <v>42</v>
      </c>
      <c r="H68" s="16"/>
      <c r="I68" s="16" t="s">
        <v>43</v>
      </c>
      <c r="J68" s="16"/>
      <c r="K68" s="16" t="s">
        <v>44</v>
      </c>
      <c r="L68" s="16"/>
    </row>
    <row r="69" ht="108" customHeight="1" spans="1:12">
      <c r="A69" s="17" t="s">
        <v>37</v>
      </c>
      <c r="B69" s="17"/>
      <c r="C69" s="17" t="s">
        <v>38</v>
      </c>
      <c r="D69" s="17"/>
      <c r="E69" s="17" t="s">
        <v>38</v>
      </c>
      <c r="F69" s="17"/>
      <c r="G69" s="17" t="s">
        <v>38</v>
      </c>
      <c r="H69" s="17"/>
      <c r="I69" s="17" t="s">
        <v>38</v>
      </c>
      <c r="J69" s="17"/>
      <c r="K69" s="17" t="s">
        <v>39</v>
      </c>
      <c r="L69" s="17"/>
    </row>
    <row r="70" ht="69" customHeight="1"/>
    <row r="71" ht="15.75" spans="1:12">
      <c r="A71" s="15" t="s">
        <v>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ht="15.75" spans="1:12">
      <c r="A72" s="15" t="s">
        <v>45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spans="1:12">
      <c r="A73" s="20" t="s">
        <v>46</v>
      </c>
      <c r="B73" s="21"/>
      <c r="C73" s="21"/>
      <c r="D73" s="21"/>
      <c r="E73" s="21"/>
      <c r="F73" s="22"/>
      <c r="G73" s="20" t="s">
        <v>47</v>
      </c>
      <c r="H73" s="21"/>
      <c r="I73" s="21"/>
      <c r="J73" s="21"/>
      <c r="K73" s="21"/>
      <c r="L73" s="22"/>
    </row>
    <row r="74" ht="33" customHeight="1" spans="1:12">
      <c r="A74" s="23" t="s">
        <v>48</v>
      </c>
      <c r="B74" s="24"/>
      <c r="C74" s="24"/>
      <c r="D74" s="24"/>
      <c r="E74" s="24"/>
      <c r="F74" s="25"/>
      <c r="G74" s="23" t="s">
        <v>49</v>
      </c>
      <c r="H74" s="24"/>
      <c r="I74" s="24"/>
      <c r="J74" s="24"/>
      <c r="K74" s="24"/>
      <c r="L74" s="25"/>
    </row>
    <row r="75" spans="1:1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ht="15.75" spans="1:12">
      <c r="A76" s="19" t="s">
        <v>8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ht="15.75" spans="1:12">
      <c r="A77" s="19" t="s">
        <v>45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>
      <c r="A78" s="20" t="s">
        <v>50</v>
      </c>
      <c r="B78" s="21"/>
      <c r="C78" s="21"/>
      <c r="D78" s="22"/>
      <c r="E78" s="20" t="s">
        <v>51</v>
      </c>
      <c r="F78" s="21"/>
      <c r="G78" s="21"/>
      <c r="H78" s="22"/>
      <c r="I78" s="20" t="s">
        <v>52</v>
      </c>
      <c r="J78" s="21"/>
      <c r="K78" s="21"/>
      <c r="L78" s="22"/>
    </row>
    <row r="79" ht="51" customHeight="1" spans="1:12">
      <c r="A79" s="23" t="s">
        <v>48</v>
      </c>
      <c r="B79" s="24"/>
      <c r="C79" s="24"/>
      <c r="D79" s="25"/>
      <c r="E79" s="23" t="s">
        <v>48</v>
      </c>
      <c r="F79" s="24"/>
      <c r="G79" s="24"/>
      <c r="H79" s="25"/>
      <c r="I79" s="23" t="s">
        <v>49</v>
      </c>
      <c r="J79" s="24"/>
      <c r="K79" s="24"/>
      <c r="L79" s="25"/>
    </row>
    <row r="80" ht="80" customHeight="1"/>
    <row r="81" ht="15.75" spans="1:12">
      <c r="A81" s="15" t="s">
        <v>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ht="15.75" spans="1:12">
      <c r="A82" s="15" t="s">
        <v>53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>
      <c r="A83" s="16" t="s">
        <v>34</v>
      </c>
      <c r="B83" s="16"/>
      <c r="C83" s="16"/>
      <c r="D83" s="16"/>
      <c r="E83" s="16" t="s">
        <v>54</v>
      </c>
      <c r="F83" s="16"/>
      <c r="G83" s="16"/>
      <c r="H83" s="16"/>
      <c r="I83" s="16" t="s">
        <v>55</v>
      </c>
      <c r="J83" s="16"/>
      <c r="K83" s="16"/>
      <c r="L83" s="16"/>
    </row>
    <row r="84" ht="50" customHeight="1" spans="1:12">
      <c r="A84" s="23" t="s">
        <v>56</v>
      </c>
      <c r="B84" s="24"/>
      <c r="C84" s="24"/>
      <c r="D84" s="25"/>
      <c r="E84" s="23" t="s">
        <v>57</v>
      </c>
      <c r="F84" s="24"/>
      <c r="G84" s="24"/>
      <c r="H84" s="25"/>
      <c r="I84" s="23" t="s">
        <v>58</v>
      </c>
      <c r="J84" s="24"/>
      <c r="K84" s="24"/>
      <c r="L84" s="25"/>
    </row>
    <row r="85" spans="1:1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ht="15.75" spans="1:12">
      <c r="A86" s="19" t="s">
        <v>8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ht="15.75" spans="1:12">
      <c r="A87" s="19" t="s">
        <v>53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spans="1:12">
      <c r="A88" s="16" t="s">
        <v>34</v>
      </c>
      <c r="B88" s="16"/>
      <c r="C88" s="16" t="s">
        <v>40</v>
      </c>
      <c r="D88" s="16"/>
      <c r="E88" s="16"/>
      <c r="F88" s="16" t="s">
        <v>59</v>
      </c>
      <c r="G88" s="16"/>
      <c r="H88" s="16" t="s">
        <v>60</v>
      </c>
      <c r="I88" s="16"/>
      <c r="J88" s="16"/>
      <c r="K88" s="16" t="s">
        <v>61</v>
      </c>
      <c r="L88" s="16"/>
    </row>
    <row r="89" ht="93" customHeight="1" spans="1:12">
      <c r="A89" s="17" t="s">
        <v>56</v>
      </c>
      <c r="B89" s="17"/>
      <c r="C89" s="17" t="s">
        <v>57</v>
      </c>
      <c r="D89" s="17"/>
      <c r="E89" s="17"/>
      <c r="F89" s="17" t="s">
        <v>57</v>
      </c>
      <c r="G89" s="17"/>
      <c r="H89" s="17" t="s">
        <v>57</v>
      </c>
      <c r="I89" s="17"/>
      <c r="J89" s="17"/>
      <c r="K89" s="17" t="s">
        <v>58</v>
      </c>
      <c r="L89" s="17"/>
    </row>
    <row r="90" ht="78" customHeight="1"/>
    <row r="91" ht="15.75" spans="1:12">
      <c r="A91" s="15" t="s">
        <v>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ht="15.75" spans="1:12">
      <c r="A92" s="15" t="s">
        <v>62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spans="1:12">
      <c r="A93" s="16" t="s">
        <v>34</v>
      </c>
      <c r="B93" s="16"/>
      <c r="C93" s="16"/>
      <c r="D93" s="16"/>
      <c r="E93" s="16" t="s">
        <v>63</v>
      </c>
      <c r="F93" s="16"/>
      <c r="G93" s="16"/>
      <c r="H93" s="16"/>
      <c r="I93" s="16" t="s">
        <v>64</v>
      </c>
      <c r="J93" s="16"/>
      <c r="K93" s="16"/>
      <c r="L93" s="16"/>
    </row>
    <row r="94" ht="59" customHeight="1" spans="1:12">
      <c r="A94" s="23" t="s">
        <v>65</v>
      </c>
      <c r="B94" s="24"/>
      <c r="C94" s="24"/>
      <c r="D94" s="25"/>
      <c r="E94" s="23" t="s">
        <v>66</v>
      </c>
      <c r="F94" s="24"/>
      <c r="G94" s="24"/>
      <c r="H94" s="25"/>
      <c r="I94" s="23" t="s">
        <v>67</v>
      </c>
      <c r="J94" s="24"/>
      <c r="K94" s="24"/>
      <c r="L94" s="25"/>
    </row>
    <row r="95" spans="1:1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ht="15.75" spans="1:12">
      <c r="A96" s="19" t="s">
        <v>8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ht="15.75" spans="1:12">
      <c r="A97" s="19" t="s">
        <v>53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>
      <c r="A98" s="16" t="s">
        <v>34</v>
      </c>
      <c r="B98" s="16"/>
      <c r="C98" s="16" t="s">
        <v>40</v>
      </c>
      <c r="D98" s="16"/>
      <c r="E98" s="16"/>
      <c r="F98" s="16" t="s">
        <v>68</v>
      </c>
      <c r="G98" s="16"/>
      <c r="H98" s="16" t="s">
        <v>69</v>
      </c>
      <c r="I98" s="16"/>
      <c r="J98" s="16"/>
      <c r="K98" s="16" t="s">
        <v>70</v>
      </c>
      <c r="L98" s="16"/>
    </row>
    <row r="99" ht="93" customHeight="1" spans="1:12">
      <c r="A99" s="17" t="s">
        <v>65</v>
      </c>
      <c r="B99" s="17"/>
      <c r="C99" s="17" t="s">
        <v>66</v>
      </c>
      <c r="D99" s="17"/>
      <c r="E99" s="17"/>
      <c r="F99" s="17" t="s">
        <v>66</v>
      </c>
      <c r="G99" s="17"/>
      <c r="H99" s="17" t="s">
        <v>66</v>
      </c>
      <c r="I99" s="17"/>
      <c r="J99" s="17"/>
      <c r="K99" s="17" t="s">
        <v>67</v>
      </c>
      <c r="L99" s="17"/>
    </row>
  </sheetData>
  <mergeCells count="200">
    <mergeCell ref="A1:L1"/>
    <mergeCell ref="A2:L2"/>
    <mergeCell ref="A3:D3"/>
    <mergeCell ref="E3:H3"/>
    <mergeCell ref="I3:L3"/>
    <mergeCell ref="A4:D4"/>
    <mergeCell ref="E4:H4"/>
    <mergeCell ref="I4:L4"/>
    <mergeCell ref="A6:L6"/>
    <mergeCell ref="A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1:L11"/>
    <mergeCell ref="A12:L12"/>
    <mergeCell ref="A13:D13"/>
    <mergeCell ref="E13:H13"/>
    <mergeCell ref="I13:L13"/>
    <mergeCell ref="A14:D14"/>
    <mergeCell ref="E14:H14"/>
    <mergeCell ref="I14:L14"/>
    <mergeCell ref="A16:L16"/>
    <mergeCell ref="A17:L17"/>
    <mergeCell ref="A18:B18"/>
    <mergeCell ref="C18:D18"/>
    <mergeCell ref="E18:F18"/>
    <mergeCell ref="G18:H18"/>
    <mergeCell ref="I18:J18"/>
    <mergeCell ref="K18:L18"/>
    <mergeCell ref="A19:B19"/>
    <mergeCell ref="C19:D19"/>
    <mergeCell ref="E19:F19"/>
    <mergeCell ref="G19:H19"/>
    <mergeCell ref="I19:J19"/>
    <mergeCell ref="K19:L19"/>
    <mergeCell ref="A21:L21"/>
    <mergeCell ref="A22:L22"/>
    <mergeCell ref="A23:F23"/>
    <mergeCell ref="G23:L23"/>
    <mergeCell ref="A24:F24"/>
    <mergeCell ref="G24:L24"/>
    <mergeCell ref="A26:L26"/>
    <mergeCell ref="A27:L27"/>
    <mergeCell ref="A28:B28"/>
    <mergeCell ref="C28:D28"/>
    <mergeCell ref="E28:F28"/>
    <mergeCell ref="G28:H28"/>
    <mergeCell ref="I28:J28"/>
    <mergeCell ref="K28:L28"/>
    <mergeCell ref="A29:B29"/>
    <mergeCell ref="C29:D29"/>
    <mergeCell ref="E29:F29"/>
    <mergeCell ref="G29:H29"/>
    <mergeCell ref="I29:J29"/>
    <mergeCell ref="K29:L29"/>
    <mergeCell ref="A31:L31"/>
    <mergeCell ref="A32:L32"/>
    <mergeCell ref="A33:D33"/>
    <mergeCell ref="E33:H33"/>
    <mergeCell ref="I33:L33"/>
    <mergeCell ref="A34:D34"/>
    <mergeCell ref="E34:H34"/>
    <mergeCell ref="I34:L34"/>
    <mergeCell ref="A36:L36"/>
    <mergeCell ref="A37:L37"/>
    <mergeCell ref="A38:B38"/>
    <mergeCell ref="C38:D38"/>
    <mergeCell ref="E38:F38"/>
    <mergeCell ref="G38:H38"/>
    <mergeCell ref="I38:J38"/>
    <mergeCell ref="K38:L38"/>
    <mergeCell ref="A39:B39"/>
    <mergeCell ref="C39:D39"/>
    <mergeCell ref="E39:F39"/>
    <mergeCell ref="G39:H39"/>
    <mergeCell ref="I39:J39"/>
    <mergeCell ref="K39:L39"/>
    <mergeCell ref="A41:L41"/>
    <mergeCell ref="A42:L42"/>
    <mergeCell ref="A43:D43"/>
    <mergeCell ref="E43:H43"/>
    <mergeCell ref="I43:L43"/>
    <mergeCell ref="A44:D44"/>
    <mergeCell ref="E44:H44"/>
    <mergeCell ref="I44:L44"/>
    <mergeCell ref="A46:L46"/>
    <mergeCell ref="A47:L47"/>
    <mergeCell ref="A48:B48"/>
    <mergeCell ref="C48:D48"/>
    <mergeCell ref="E48:F48"/>
    <mergeCell ref="G48:H48"/>
    <mergeCell ref="I48:J48"/>
    <mergeCell ref="K48:L48"/>
    <mergeCell ref="A49:B49"/>
    <mergeCell ref="C49:D49"/>
    <mergeCell ref="E49:F49"/>
    <mergeCell ref="G49:H49"/>
    <mergeCell ref="I49:J49"/>
    <mergeCell ref="K49:L49"/>
    <mergeCell ref="A51:L51"/>
    <mergeCell ref="A52:L52"/>
    <mergeCell ref="A53:F53"/>
    <mergeCell ref="G53:L53"/>
    <mergeCell ref="A54:F54"/>
    <mergeCell ref="G54:L54"/>
    <mergeCell ref="A56:L56"/>
    <mergeCell ref="A57:L57"/>
    <mergeCell ref="A58:C58"/>
    <mergeCell ref="D58:F58"/>
    <mergeCell ref="G58:I58"/>
    <mergeCell ref="J58:L58"/>
    <mergeCell ref="A59:C59"/>
    <mergeCell ref="D59:F59"/>
    <mergeCell ref="G59:I59"/>
    <mergeCell ref="J59:L59"/>
    <mergeCell ref="A61:L61"/>
    <mergeCell ref="A62:L62"/>
    <mergeCell ref="A63:D63"/>
    <mergeCell ref="E63:H63"/>
    <mergeCell ref="I63:L63"/>
    <mergeCell ref="A64:D64"/>
    <mergeCell ref="E64:H64"/>
    <mergeCell ref="I64:L64"/>
    <mergeCell ref="A66:L66"/>
    <mergeCell ref="A67:L67"/>
    <mergeCell ref="A68:B68"/>
    <mergeCell ref="C68:D68"/>
    <mergeCell ref="E68:F68"/>
    <mergeCell ref="G68:H68"/>
    <mergeCell ref="I68:J68"/>
    <mergeCell ref="K68:L68"/>
    <mergeCell ref="A69:B69"/>
    <mergeCell ref="C69:D69"/>
    <mergeCell ref="E69:F69"/>
    <mergeCell ref="G69:H69"/>
    <mergeCell ref="I69:J69"/>
    <mergeCell ref="K69:L69"/>
    <mergeCell ref="A71:L71"/>
    <mergeCell ref="A72:L72"/>
    <mergeCell ref="A73:F73"/>
    <mergeCell ref="G73:L73"/>
    <mergeCell ref="A74:F74"/>
    <mergeCell ref="G74:L74"/>
    <mergeCell ref="A76:L76"/>
    <mergeCell ref="A77:L77"/>
    <mergeCell ref="A78:D78"/>
    <mergeCell ref="E78:H78"/>
    <mergeCell ref="I78:L78"/>
    <mergeCell ref="A79:D79"/>
    <mergeCell ref="E79:H79"/>
    <mergeCell ref="I79:L79"/>
    <mergeCell ref="A81:L81"/>
    <mergeCell ref="A82:L82"/>
    <mergeCell ref="A83:D83"/>
    <mergeCell ref="E83:H83"/>
    <mergeCell ref="I83:L83"/>
    <mergeCell ref="A84:D84"/>
    <mergeCell ref="E84:H84"/>
    <mergeCell ref="I84:L84"/>
    <mergeCell ref="A86:L86"/>
    <mergeCell ref="A87:L87"/>
    <mergeCell ref="A88:B88"/>
    <mergeCell ref="C88:E88"/>
    <mergeCell ref="F88:G88"/>
    <mergeCell ref="H88:J88"/>
    <mergeCell ref="K88:L88"/>
    <mergeCell ref="A89:B89"/>
    <mergeCell ref="C89:E89"/>
    <mergeCell ref="F89:G89"/>
    <mergeCell ref="H89:J89"/>
    <mergeCell ref="K89:L89"/>
    <mergeCell ref="A91:L91"/>
    <mergeCell ref="A92:L92"/>
    <mergeCell ref="A93:D93"/>
    <mergeCell ref="E93:H93"/>
    <mergeCell ref="I93:L93"/>
    <mergeCell ref="A94:D94"/>
    <mergeCell ref="E94:H94"/>
    <mergeCell ref="I94:L94"/>
    <mergeCell ref="A96:L96"/>
    <mergeCell ref="A97:L97"/>
    <mergeCell ref="A98:B98"/>
    <mergeCell ref="C98:E98"/>
    <mergeCell ref="F98:G98"/>
    <mergeCell ref="H98:J98"/>
    <mergeCell ref="K98:L98"/>
    <mergeCell ref="A99:B99"/>
    <mergeCell ref="C99:E99"/>
    <mergeCell ref="F99:G99"/>
    <mergeCell ref="H99:J99"/>
    <mergeCell ref="K99:L9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tabSelected="1" topLeftCell="A81" workbookViewId="0">
      <selection activeCell="A100" sqref="A100:C100"/>
    </sheetView>
  </sheetViews>
  <sheetFormatPr defaultColWidth="9.14285714285714" defaultRowHeight="15"/>
  <cols>
    <col min="1" max="1" width="22.1428571428571" customWidth="1"/>
    <col min="2" max="2" width="28.1428571428571" customWidth="1"/>
    <col min="3" max="3" width="27.7142857142857" customWidth="1"/>
    <col min="4" max="4" width="36.7142857142857" customWidth="1"/>
    <col min="7" max="7" width="46.2857142857143" customWidth="1"/>
  </cols>
  <sheetData>
    <row r="1" ht="15.75" spans="1:8">
      <c r="A1" s="2" t="s">
        <v>71</v>
      </c>
      <c r="B1" s="2"/>
      <c r="C1" s="2"/>
      <c r="D1" s="2"/>
    </row>
    <row r="2" spans="1:8">
      <c r="A2" s="11" t="s">
        <v>72</v>
      </c>
      <c r="B2" s="11" t="s">
        <v>73</v>
      </c>
      <c r="C2" s="11" t="s">
        <v>74</v>
      </c>
      <c r="D2" s="11" t="s">
        <v>75</v>
      </c>
    </row>
    <row r="3" ht="15.75" spans="1:8">
      <c r="A3" s="6" t="s">
        <v>76</v>
      </c>
      <c r="B3" s="6" t="s">
        <v>77</v>
      </c>
      <c r="C3" s="6" t="s">
        <v>78</v>
      </c>
      <c r="D3" s="6" t="s">
        <v>79</v>
      </c>
      <c r="G3" s="4" t="s">
        <v>80</v>
      </c>
      <c r="H3" s="12">
        <f>COUNTA(A3:A12)*COUNTA(B3:B4)*COUNTA(C3:C5)*COUNTA(D3:D5)</f>
        <v>180</v>
      </c>
    </row>
    <row r="4" spans="1:8">
      <c r="A4" s="6" t="s">
        <v>81</v>
      </c>
      <c r="B4" s="6" t="s">
        <v>82</v>
      </c>
      <c r="C4" s="6" t="s">
        <v>83</v>
      </c>
      <c r="D4" s="6" t="s">
        <v>84</v>
      </c>
    </row>
    <row r="5" spans="1:8">
      <c r="A5" s="6" t="s">
        <v>85</v>
      </c>
      <c r="B5" s="6"/>
      <c r="C5" s="6" t="s">
        <v>86</v>
      </c>
      <c r="D5" s="6" t="s">
        <v>87</v>
      </c>
    </row>
    <row r="6" spans="1:8">
      <c r="A6" s="6" t="s">
        <v>88</v>
      </c>
    </row>
    <row r="7" spans="1:8">
      <c r="A7" s="6" t="s">
        <v>89</v>
      </c>
    </row>
    <row r="8" spans="1:8">
      <c r="A8" s="6" t="s">
        <v>90</v>
      </c>
    </row>
    <row r="9" spans="1:8">
      <c r="A9" s="6" t="s">
        <v>91</v>
      </c>
    </row>
    <row r="10" spans="1:8">
      <c r="A10" s="6" t="s">
        <v>92</v>
      </c>
    </row>
    <row r="11" spans="1:8">
      <c r="A11" s="6" t="s">
        <v>93</v>
      </c>
    </row>
    <row r="12" spans="1:8">
      <c r="A12" s="6" t="s">
        <v>94</v>
      </c>
    </row>
    <row r="16" ht="15.75" spans="1:8">
      <c r="A16" s="2" t="s">
        <v>95</v>
      </c>
      <c r="B16" s="2"/>
      <c r="C16" s="2"/>
      <c r="D16" s="2"/>
    </row>
    <row r="17" spans="1:8">
      <c r="A17" s="6" t="s">
        <v>76</v>
      </c>
      <c r="B17" s="6" t="s">
        <v>77</v>
      </c>
      <c r="C17" s="6" t="s">
        <v>78</v>
      </c>
      <c r="D17" s="6" t="s">
        <v>79</v>
      </c>
    </row>
    <row r="18" spans="1:8">
      <c r="A18" s="6" t="s">
        <v>76</v>
      </c>
      <c r="B18" s="6" t="s">
        <v>82</v>
      </c>
      <c r="C18" s="6" t="s">
        <v>83</v>
      </c>
      <c r="D18" s="6" t="s">
        <v>84</v>
      </c>
    </row>
    <row r="19" spans="1:8">
      <c r="A19" s="6" t="s">
        <v>76</v>
      </c>
      <c r="B19" s="6" t="s">
        <v>77</v>
      </c>
      <c r="C19" s="6" t="s">
        <v>86</v>
      </c>
      <c r="D19" s="6" t="s">
        <v>96</v>
      </c>
    </row>
    <row r="20" spans="1:8">
      <c r="A20" s="6" t="s">
        <v>81</v>
      </c>
      <c r="B20" s="6" t="s">
        <v>82</v>
      </c>
      <c r="C20" s="6" t="s">
        <v>78</v>
      </c>
      <c r="D20" s="6" t="s">
        <v>84</v>
      </c>
    </row>
    <row r="21" spans="1:8">
      <c r="A21" s="6" t="s">
        <v>81</v>
      </c>
      <c r="B21" s="6" t="s">
        <v>77</v>
      </c>
      <c r="C21" s="6" t="s">
        <v>83</v>
      </c>
      <c r="D21" s="6" t="s">
        <v>96</v>
      </c>
    </row>
    <row r="22" spans="1:8">
      <c r="A22" s="6" t="s">
        <v>81</v>
      </c>
      <c r="B22" s="6" t="s">
        <v>82</v>
      </c>
      <c r="C22" s="6" t="s">
        <v>86</v>
      </c>
      <c r="D22" s="6" t="s">
        <v>79</v>
      </c>
    </row>
    <row r="23" spans="1:8">
      <c r="A23" s="6" t="s">
        <v>85</v>
      </c>
      <c r="B23" s="6" t="s">
        <v>77</v>
      </c>
      <c r="C23" s="6" t="s">
        <v>78</v>
      </c>
      <c r="D23" s="6" t="s">
        <v>96</v>
      </c>
    </row>
    <row r="24" spans="1:8">
      <c r="A24" s="6" t="s">
        <v>85</v>
      </c>
      <c r="B24" s="6" t="s">
        <v>82</v>
      </c>
      <c r="C24" s="6" t="s">
        <v>83</v>
      </c>
      <c r="D24" s="6" t="s">
        <v>79</v>
      </c>
    </row>
    <row r="25" spans="1:8">
      <c r="A25" s="6" t="s">
        <v>85</v>
      </c>
      <c r="B25" s="6" t="s">
        <v>77</v>
      </c>
      <c r="C25" s="6" t="s">
        <v>86</v>
      </c>
      <c r="D25" s="6" t="s">
        <v>84</v>
      </c>
    </row>
    <row r="26" ht="15.75" spans="1:8">
      <c r="A26" s="6" t="s">
        <v>88</v>
      </c>
      <c r="B26" s="6" t="s">
        <v>82</v>
      </c>
      <c r="C26" s="6" t="s">
        <v>78</v>
      </c>
      <c r="D26" s="6" t="s">
        <v>79</v>
      </c>
      <c r="G26" s="4" t="s">
        <v>80</v>
      </c>
      <c r="H26" s="13">
        <f>COUNTA(A17:A46)</f>
        <v>30</v>
      </c>
    </row>
    <row r="27" spans="1:8">
      <c r="A27" s="6" t="s">
        <v>88</v>
      </c>
      <c r="B27" s="6" t="s">
        <v>77</v>
      </c>
      <c r="C27" s="6" t="s">
        <v>83</v>
      </c>
      <c r="D27" s="6" t="s">
        <v>84</v>
      </c>
    </row>
    <row r="28" spans="1:8">
      <c r="A28" s="6" t="s">
        <v>88</v>
      </c>
      <c r="B28" s="6" t="s">
        <v>82</v>
      </c>
      <c r="C28" s="6" t="s">
        <v>86</v>
      </c>
      <c r="D28" s="6" t="s">
        <v>96</v>
      </c>
    </row>
    <row r="29" spans="1:8">
      <c r="A29" s="6" t="s">
        <v>89</v>
      </c>
      <c r="B29" s="6" t="s">
        <v>77</v>
      </c>
      <c r="C29" s="6" t="s">
        <v>78</v>
      </c>
      <c r="D29" s="6" t="s">
        <v>84</v>
      </c>
    </row>
    <row r="30" spans="1:8">
      <c r="A30" s="6" t="s">
        <v>89</v>
      </c>
      <c r="B30" s="6" t="s">
        <v>82</v>
      </c>
      <c r="C30" s="6" t="s">
        <v>83</v>
      </c>
      <c r="D30" s="6" t="s">
        <v>96</v>
      </c>
    </row>
    <row r="31" spans="1:8">
      <c r="A31" s="6" t="s">
        <v>89</v>
      </c>
      <c r="B31" s="6" t="s">
        <v>77</v>
      </c>
      <c r="C31" s="6" t="s">
        <v>86</v>
      </c>
      <c r="D31" s="6" t="s">
        <v>79</v>
      </c>
    </row>
    <row r="32" spans="1:8">
      <c r="A32" s="6" t="s">
        <v>90</v>
      </c>
      <c r="B32" s="6" t="s">
        <v>82</v>
      </c>
      <c r="C32" s="6" t="s">
        <v>78</v>
      </c>
      <c r="D32" s="6" t="s">
        <v>96</v>
      </c>
    </row>
    <row r="33" ht="18.75" spans="1:9">
      <c r="A33" s="6" t="s">
        <v>90</v>
      </c>
      <c r="B33" s="6" t="s">
        <v>77</v>
      </c>
      <c r="C33" s="6" t="s">
        <v>83</v>
      </c>
      <c r="D33" s="6" t="s">
        <v>79</v>
      </c>
      <c r="G33" s="6" t="s">
        <v>97</v>
      </c>
      <c r="H33" s="14">
        <f>H3/H26</f>
        <v>6</v>
      </c>
      <c r="I33" t="s">
        <v>98</v>
      </c>
    </row>
    <row r="34" spans="1:9">
      <c r="A34" s="6" t="s">
        <v>90</v>
      </c>
      <c r="B34" s="6" t="s">
        <v>82</v>
      </c>
      <c r="C34" s="6" t="s">
        <v>86</v>
      </c>
      <c r="D34" s="6" t="s">
        <v>84</v>
      </c>
    </row>
    <row r="35" spans="1:9">
      <c r="A35" s="6" t="s">
        <v>91</v>
      </c>
      <c r="B35" s="6" t="s">
        <v>77</v>
      </c>
      <c r="C35" s="6" t="s">
        <v>78</v>
      </c>
      <c r="D35" s="6" t="s">
        <v>79</v>
      </c>
    </row>
    <row r="36" spans="1:9">
      <c r="A36" s="6" t="s">
        <v>91</v>
      </c>
      <c r="B36" s="6" t="s">
        <v>82</v>
      </c>
      <c r="C36" s="6" t="s">
        <v>83</v>
      </c>
      <c r="D36" s="6" t="s">
        <v>84</v>
      </c>
    </row>
    <row r="37" spans="1:9">
      <c r="A37" s="6" t="s">
        <v>91</v>
      </c>
      <c r="B37" s="6" t="s">
        <v>77</v>
      </c>
      <c r="C37" s="6" t="s">
        <v>86</v>
      </c>
      <c r="D37" s="6" t="s">
        <v>96</v>
      </c>
    </row>
    <row r="38" spans="1:9">
      <c r="A38" s="6" t="s">
        <v>92</v>
      </c>
      <c r="B38" s="6" t="s">
        <v>82</v>
      </c>
      <c r="C38" s="6" t="s">
        <v>78</v>
      </c>
      <c r="D38" s="6" t="s">
        <v>84</v>
      </c>
    </row>
    <row r="39" spans="1:9">
      <c r="A39" s="6" t="s">
        <v>92</v>
      </c>
      <c r="B39" s="6" t="s">
        <v>77</v>
      </c>
      <c r="C39" s="6" t="s">
        <v>83</v>
      </c>
      <c r="D39" s="6" t="s">
        <v>96</v>
      </c>
    </row>
    <row r="40" spans="1:9">
      <c r="A40" s="6" t="s">
        <v>92</v>
      </c>
      <c r="B40" s="6" t="s">
        <v>82</v>
      </c>
      <c r="C40" s="6" t="s">
        <v>86</v>
      </c>
      <c r="D40" s="6" t="s">
        <v>79</v>
      </c>
    </row>
    <row r="41" spans="1:9">
      <c r="A41" s="6" t="s">
        <v>93</v>
      </c>
      <c r="B41" s="6" t="s">
        <v>77</v>
      </c>
      <c r="C41" s="6" t="s">
        <v>78</v>
      </c>
      <c r="D41" s="6" t="s">
        <v>96</v>
      </c>
    </row>
    <row r="42" spans="1:9">
      <c r="A42" s="6" t="s">
        <v>93</v>
      </c>
      <c r="B42" s="6" t="s">
        <v>82</v>
      </c>
      <c r="C42" s="6" t="s">
        <v>83</v>
      </c>
      <c r="D42" s="6" t="s">
        <v>79</v>
      </c>
    </row>
    <row r="43" spans="1:9">
      <c r="A43" s="6" t="s">
        <v>93</v>
      </c>
      <c r="B43" s="6" t="s">
        <v>77</v>
      </c>
      <c r="C43" s="6" t="s">
        <v>86</v>
      </c>
      <c r="D43" s="6" t="s">
        <v>84</v>
      </c>
    </row>
    <row r="44" spans="1:9">
      <c r="A44" s="6" t="s">
        <v>94</v>
      </c>
      <c r="B44" s="6" t="s">
        <v>82</v>
      </c>
      <c r="C44" s="6" t="s">
        <v>78</v>
      </c>
      <c r="D44" s="6" t="s">
        <v>79</v>
      </c>
    </row>
    <row r="45" spans="1:9">
      <c r="A45" s="6" t="s">
        <v>94</v>
      </c>
      <c r="B45" s="6" t="s">
        <v>77</v>
      </c>
      <c r="C45" s="6" t="s">
        <v>83</v>
      </c>
      <c r="D45" s="6" t="s">
        <v>84</v>
      </c>
    </row>
    <row r="46" spans="1:9">
      <c r="A46" s="6" t="s">
        <v>94</v>
      </c>
      <c r="B46" s="6" t="s">
        <v>82</v>
      </c>
      <c r="C46" s="6" t="s">
        <v>86</v>
      </c>
      <c r="D46" s="6" t="s">
        <v>96</v>
      </c>
    </row>
    <row r="53" ht="15.75" spans="1:8">
      <c r="A53" s="2" t="s">
        <v>99</v>
      </c>
      <c r="B53" s="2"/>
      <c r="C53" s="2"/>
    </row>
    <row r="54" spans="1:8">
      <c r="A54" s="11" t="s">
        <v>100</v>
      </c>
      <c r="B54" s="11" t="s">
        <v>101</v>
      </c>
      <c r="C54" s="11" t="s">
        <v>102</v>
      </c>
    </row>
    <row r="55" ht="15.75" spans="1:8">
      <c r="A55" s="6">
        <v>11</v>
      </c>
      <c r="B55" s="6" t="s">
        <v>103</v>
      </c>
      <c r="C55" s="6" t="s">
        <v>103</v>
      </c>
      <c r="D55" s="6"/>
      <c r="G55" s="4" t="s">
        <v>80</v>
      </c>
      <c r="H55" s="12">
        <f>COUNTA(A55:A66)*COUNTA(B55:B56)*COUNTA(C55:C56)</f>
        <v>48</v>
      </c>
    </row>
    <row r="56" spans="1:8">
      <c r="A56" s="6">
        <v>12</v>
      </c>
      <c r="B56" s="6" t="s">
        <v>104</v>
      </c>
      <c r="C56" s="6" t="s">
        <v>104</v>
      </c>
      <c r="D56" s="6"/>
    </row>
    <row r="57" spans="1:8">
      <c r="A57" s="6">
        <v>13</v>
      </c>
      <c r="B57" s="6"/>
      <c r="C57" s="6"/>
      <c r="D57" s="6"/>
    </row>
    <row r="58" spans="1:8">
      <c r="A58" s="6">
        <v>14</v>
      </c>
    </row>
    <row r="59" spans="1:8">
      <c r="A59" s="6">
        <v>15</v>
      </c>
    </row>
    <row r="60" spans="1:8">
      <c r="A60" s="6">
        <v>16</v>
      </c>
    </row>
    <row r="61" spans="1:8">
      <c r="A61" s="6">
        <v>17</v>
      </c>
    </row>
    <row r="62" spans="1:8">
      <c r="A62" s="6">
        <v>18</v>
      </c>
    </row>
    <row r="63" spans="1:8">
      <c r="A63" s="6">
        <v>19</v>
      </c>
    </row>
    <row r="64" spans="1:8">
      <c r="A64" s="6">
        <v>20</v>
      </c>
    </row>
    <row r="65" spans="1:9">
      <c r="A65" s="6">
        <v>21</v>
      </c>
    </row>
    <row r="66" spans="1:9">
      <c r="A66" s="6">
        <v>22</v>
      </c>
    </row>
    <row r="70" ht="15.75" spans="1:9">
      <c r="A70" s="2" t="s">
        <v>95</v>
      </c>
      <c r="B70" s="2"/>
      <c r="C70" s="2"/>
    </row>
    <row r="71" spans="1:9">
      <c r="A71" s="6">
        <v>11</v>
      </c>
      <c r="B71" s="6" t="s">
        <v>103</v>
      </c>
      <c r="C71" s="6" t="s">
        <v>103</v>
      </c>
    </row>
    <row r="72" spans="1:9">
      <c r="A72" s="6">
        <v>11</v>
      </c>
      <c r="B72" s="6" t="s">
        <v>104</v>
      </c>
      <c r="C72" s="6" t="s">
        <v>104</v>
      </c>
    </row>
    <row r="73" spans="1:9">
      <c r="A73" s="6">
        <v>12</v>
      </c>
      <c r="B73" s="6" t="s">
        <v>103</v>
      </c>
      <c r="C73" s="6" t="s">
        <v>103</v>
      </c>
    </row>
    <row r="74" spans="1:9">
      <c r="A74" s="6">
        <v>12</v>
      </c>
      <c r="B74" s="6" t="s">
        <v>104</v>
      </c>
      <c r="C74" s="6" t="s">
        <v>104</v>
      </c>
    </row>
    <row r="75" spans="1:9">
      <c r="A75" s="6">
        <v>13</v>
      </c>
      <c r="B75" s="6" t="s">
        <v>103</v>
      </c>
      <c r="C75" s="6" t="s">
        <v>104</v>
      </c>
    </row>
    <row r="76" spans="1:9">
      <c r="A76" s="6">
        <v>13</v>
      </c>
      <c r="B76" s="6" t="s">
        <v>104</v>
      </c>
      <c r="C76" s="6" t="s">
        <v>103</v>
      </c>
    </row>
    <row r="77" spans="1:9">
      <c r="A77" s="6">
        <v>14</v>
      </c>
      <c r="B77" s="6" t="s">
        <v>103</v>
      </c>
      <c r="C77" s="6" t="s">
        <v>104</v>
      </c>
    </row>
    <row r="78" ht="15.75" spans="1:9">
      <c r="A78" s="6">
        <v>14</v>
      </c>
      <c r="B78" s="6" t="s">
        <v>104</v>
      </c>
      <c r="C78" s="6" t="s">
        <v>103</v>
      </c>
      <c r="G78" s="4" t="s">
        <v>80</v>
      </c>
      <c r="H78" s="13">
        <f>COUNTA(A71:A94)</f>
        <v>24</v>
      </c>
    </row>
    <row r="79" ht="18.75" spans="1:9">
      <c r="A79" s="6">
        <v>15</v>
      </c>
      <c r="B79" s="6" t="s">
        <v>103</v>
      </c>
      <c r="C79" s="6" t="s">
        <v>103</v>
      </c>
      <c r="G79" s="6" t="s">
        <v>97</v>
      </c>
      <c r="H79" s="14">
        <f>H55/H78</f>
        <v>2</v>
      </c>
      <c r="I79" t="s">
        <v>105</v>
      </c>
    </row>
    <row r="80" spans="1:9">
      <c r="A80" s="6">
        <v>15</v>
      </c>
      <c r="B80" s="6" t="s">
        <v>104</v>
      </c>
      <c r="C80" s="6" t="s">
        <v>104</v>
      </c>
    </row>
    <row r="81" spans="1:3">
      <c r="A81" s="6">
        <v>16</v>
      </c>
      <c r="B81" s="6" t="s">
        <v>103</v>
      </c>
      <c r="C81" s="6" t="s">
        <v>103</v>
      </c>
    </row>
    <row r="82" spans="1:3">
      <c r="A82" s="6">
        <v>16</v>
      </c>
      <c r="B82" s="6" t="s">
        <v>104</v>
      </c>
      <c r="C82" s="6" t="s">
        <v>104</v>
      </c>
    </row>
    <row r="83" spans="1:3">
      <c r="A83" s="6">
        <v>17</v>
      </c>
      <c r="B83" s="6" t="s">
        <v>103</v>
      </c>
      <c r="C83" s="6" t="s">
        <v>104</v>
      </c>
    </row>
    <row r="84" spans="1:3">
      <c r="A84" s="6">
        <v>17</v>
      </c>
      <c r="B84" s="6" t="s">
        <v>104</v>
      </c>
      <c r="C84" s="6" t="s">
        <v>103</v>
      </c>
    </row>
    <row r="85" spans="1:3">
      <c r="A85" s="6">
        <v>18</v>
      </c>
      <c r="B85" s="6" t="s">
        <v>103</v>
      </c>
      <c r="C85" s="6" t="s">
        <v>104</v>
      </c>
    </row>
    <row r="86" spans="1:3">
      <c r="A86" s="6">
        <v>18</v>
      </c>
      <c r="B86" s="6" t="s">
        <v>104</v>
      </c>
      <c r="C86" s="6" t="s">
        <v>103</v>
      </c>
    </row>
    <row r="87" spans="1:3">
      <c r="A87" s="6">
        <v>19</v>
      </c>
      <c r="B87" s="6" t="s">
        <v>103</v>
      </c>
      <c r="C87" s="6" t="s">
        <v>103</v>
      </c>
    </row>
    <row r="88" spans="1:3">
      <c r="A88" s="6">
        <v>19</v>
      </c>
      <c r="B88" s="6" t="s">
        <v>104</v>
      </c>
      <c r="C88" s="6" t="s">
        <v>104</v>
      </c>
    </row>
    <row r="89" spans="1:3">
      <c r="A89" s="6">
        <v>20</v>
      </c>
      <c r="B89" s="6" t="s">
        <v>103</v>
      </c>
      <c r="C89" s="6" t="s">
        <v>103</v>
      </c>
    </row>
    <row r="90" spans="1:3">
      <c r="A90" s="6">
        <v>20</v>
      </c>
      <c r="B90" s="6" t="s">
        <v>104</v>
      </c>
      <c r="C90" s="6" t="s">
        <v>104</v>
      </c>
    </row>
    <row r="91" spans="1:3">
      <c r="A91" s="6">
        <v>21</v>
      </c>
      <c r="B91" s="6" t="s">
        <v>103</v>
      </c>
      <c r="C91" s="6" t="s">
        <v>104</v>
      </c>
    </row>
    <row r="92" spans="1:3">
      <c r="A92" s="6">
        <v>21</v>
      </c>
      <c r="B92" s="6" t="s">
        <v>104</v>
      </c>
      <c r="C92" s="6" t="s">
        <v>103</v>
      </c>
    </row>
    <row r="93" spans="1:3">
      <c r="A93" s="6">
        <v>22</v>
      </c>
      <c r="B93" s="6" t="s">
        <v>103</v>
      </c>
      <c r="C93" s="6" t="s">
        <v>104</v>
      </c>
    </row>
    <row r="94" spans="1:3">
      <c r="A94" s="6">
        <v>22</v>
      </c>
      <c r="B94" s="6" t="s">
        <v>104</v>
      </c>
      <c r="C94" s="6" t="s">
        <v>103</v>
      </c>
    </row>
    <row r="100" ht="15.75" spans="1:8">
      <c r="A100" s="2" t="s">
        <v>106</v>
      </c>
      <c r="B100" s="2"/>
      <c r="C100" s="2"/>
    </row>
    <row r="101" spans="1:8">
      <c r="A101" s="11" t="s">
        <v>107</v>
      </c>
      <c r="B101" s="11" t="s">
        <v>108</v>
      </c>
      <c r="C101" s="11" t="s">
        <v>109</v>
      </c>
    </row>
    <row r="102" ht="15.75" spans="1:8">
      <c r="A102" s="6" t="s">
        <v>110</v>
      </c>
      <c r="B102" s="6" t="s">
        <v>77</v>
      </c>
      <c r="C102" s="6" t="s">
        <v>103</v>
      </c>
      <c r="G102" s="4" t="s">
        <v>80</v>
      </c>
      <c r="H102" s="12">
        <f>COUNTA(B102:B103)*COUNTA(C102:C103)*COUNTA(A102:A104)</f>
        <v>12</v>
      </c>
    </row>
    <row r="103" spans="1:8">
      <c r="A103" s="6" t="s">
        <v>111</v>
      </c>
      <c r="B103" s="6" t="s">
        <v>82</v>
      </c>
      <c r="C103" s="6" t="s">
        <v>104</v>
      </c>
    </row>
    <row r="104" spans="1:8">
      <c r="A104" s="6" t="s">
        <v>112</v>
      </c>
      <c r="B104" s="6"/>
      <c r="C104" s="6"/>
    </row>
    <row r="111" ht="15.75" spans="1:8">
      <c r="A111" s="2" t="s">
        <v>95</v>
      </c>
      <c r="B111" s="2"/>
      <c r="C111" s="2"/>
    </row>
    <row r="112" spans="1:8">
      <c r="A112" t="s">
        <v>110</v>
      </c>
      <c r="B112" t="s">
        <v>77</v>
      </c>
      <c r="C112" t="s">
        <v>103</v>
      </c>
    </row>
    <row r="113" ht="15.75" spans="1:9">
      <c r="A113" t="s">
        <v>110</v>
      </c>
      <c r="B113" t="s">
        <v>82</v>
      </c>
      <c r="C113" t="s">
        <v>104</v>
      </c>
      <c r="G113" s="4" t="s">
        <v>80</v>
      </c>
      <c r="H113" s="13">
        <f>COUNTA(A112:A117)</f>
        <v>6</v>
      </c>
    </row>
    <row r="114" ht="18.75" spans="1:9">
      <c r="A114" t="s">
        <v>111</v>
      </c>
      <c r="B114" t="s">
        <v>82</v>
      </c>
      <c r="C114" t="s">
        <v>103</v>
      </c>
      <c r="G114" s="6" t="s">
        <v>97</v>
      </c>
      <c r="H114" s="14">
        <f>H102/H113</f>
        <v>2</v>
      </c>
      <c r="I114" t="s">
        <v>105</v>
      </c>
    </row>
    <row r="115" spans="1:9">
      <c r="A115" t="s">
        <v>111</v>
      </c>
      <c r="B115" t="s">
        <v>77</v>
      </c>
      <c r="C115" t="s">
        <v>104</v>
      </c>
    </row>
    <row r="116" spans="1:9">
      <c r="A116" t="s">
        <v>112</v>
      </c>
      <c r="B116" t="s">
        <v>77</v>
      </c>
      <c r="C116" t="s">
        <v>103</v>
      </c>
    </row>
    <row r="117" spans="1:9">
      <c r="A117" t="s">
        <v>112</v>
      </c>
      <c r="B117" t="s">
        <v>82</v>
      </c>
      <c r="C117" t="s">
        <v>104</v>
      </c>
    </row>
  </sheetData>
  <mergeCells count="6">
    <mergeCell ref="A1:D1"/>
    <mergeCell ref="A16:D16"/>
    <mergeCell ref="A53:C53"/>
    <mergeCell ref="A70:C70"/>
    <mergeCell ref="A100:C100"/>
    <mergeCell ref="A111:C1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workbookViewId="0">
      <selection activeCell="N35" sqref="N35"/>
    </sheetView>
  </sheetViews>
  <sheetFormatPr defaultColWidth="9.14285714285714" defaultRowHeight="15"/>
  <cols>
    <col min="1" max="1" width="41.8571428571429" customWidth="1"/>
    <col min="2" max="10" width="11" customWidth="1"/>
    <col min="11" max="17" width="12.1428571428571" customWidth="1"/>
  </cols>
  <sheetData>
    <row r="1" ht="15.75" spans="1:17">
      <c r="A1" s="2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</row>
    <row r="2" spans="1:17">
      <c r="A2" s="4" t="s">
        <v>114</v>
      </c>
      <c r="B2" s="4" t="s">
        <v>115</v>
      </c>
      <c r="C2" s="4" t="s">
        <v>116</v>
      </c>
      <c r="D2" s="4" t="s">
        <v>117</v>
      </c>
      <c r="E2" s="4" t="s">
        <v>118</v>
      </c>
      <c r="F2" s="4" t="s">
        <v>119</v>
      </c>
      <c r="G2" s="4" t="s">
        <v>120</v>
      </c>
      <c r="H2" s="4" t="s">
        <v>121</v>
      </c>
      <c r="I2" s="4" t="s">
        <v>122</v>
      </c>
      <c r="J2" s="4" t="s">
        <v>123</v>
      </c>
      <c r="K2" s="4" t="s">
        <v>124</v>
      </c>
      <c r="L2" s="5"/>
      <c r="M2" s="5"/>
      <c r="N2" s="5"/>
      <c r="O2" s="5"/>
      <c r="P2" s="5"/>
      <c r="Q2" s="5"/>
    </row>
    <row r="3" spans="1:17">
      <c r="A3" s="4" t="s">
        <v>125</v>
      </c>
      <c r="B3" s="6" t="s">
        <v>126</v>
      </c>
      <c r="C3" s="6" t="s">
        <v>126</v>
      </c>
      <c r="D3" s="6" t="s">
        <v>126</v>
      </c>
      <c r="E3" s="6" t="s">
        <v>126</v>
      </c>
      <c r="F3" s="6" t="s">
        <v>126</v>
      </c>
      <c r="G3" s="6" t="s">
        <v>126</v>
      </c>
      <c r="H3" s="6" t="s">
        <v>127</v>
      </c>
      <c r="I3" s="6" t="s">
        <v>127</v>
      </c>
      <c r="J3" s="6" t="s">
        <v>127</v>
      </c>
      <c r="K3" s="6" t="s">
        <v>127</v>
      </c>
    </row>
    <row r="4" spans="1:17">
      <c r="A4" s="4" t="s">
        <v>128</v>
      </c>
      <c r="B4" s="6" t="s">
        <v>126</v>
      </c>
      <c r="C4" s="6" t="s">
        <v>126</v>
      </c>
      <c r="D4" s="6" t="s">
        <v>126</v>
      </c>
      <c r="E4" s="6" t="s">
        <v>127</v>
      </c>
      <c r="F4" s="6" t="s">
        <v>127</v>
      </c>
      <c r="G4" s="6" t="s">
        <v>126</v>
      </c>
      <c r="H4" s="6" t="s">
        <v>126</v>
      </c>
      <c r="I4" s="6" t="s">
        <v>126</v>
      </c>
      <c r="J4" s="6" t="s">
        <v>127</v>
      </c>
      <c r="K4" s="6" t="s">
        <v>127</v>
      </c>
    </row>
    <row r="5" spans="1:17">
      <c r="A5" s="4" t="s">
        <v>129</v>
      </c>
      <c r="B5" s="6" t="s">
        <v>126</v>
      </c>
      <c r="C5" s="6" t="s">
        <v>126</v>
      </c>
      <c r="D5" s="6" t="s">
        <v>127</v>
      </c>
      <c r="E5" s="6" t="s">
        <v>126</v>
      </c>
      <c r="F5" s="6" t="s">
        <v>127</v>
      </c>
      <c r="G5" s="6" t="s">
        <v>127</v>
      </c>
      <c r="H5" s="6" t="s">
        <v>126</v>
      </c>
      <c r="I5" s="6" t="s">
        <v>127</v>
      </c>
      <c r="J5" s="6" t="s">
        <v>126</v>
      </c>
      <c r="K5" s="6" t="s">
        <v>127</v>
      </c>
    </row>
    <row r="6" spans="1:17">
      <c r="A6" s="4" t="s">
        <v>130</v>
      </c>
      <c r="B6" s="6" t="s">
        <v>126</v>
      </c>
      <c r="C6" s="6" t="s">
        <v>127</v>
      </c>
      <c r="D6" s="6" t="s">
        <v>131</v>
      </c>
      <c r="E6" s="6" t="s">
        <v>131</v>
      </c>
      <c r="F6" s="6" t="s">
        <v>131</v>
      </c>
      <c r="G6" s="6" t="s">
        <v>131</v>
      </c>
      <c r="H6" s="6" t="s">
        <v>131</v>
      </c>
      <c r="I6" s="6" t="s">
        <v>131</v>
      </c>
      <c r="J6" s="6" t="s">
        <v>131</v>
      </c>
      <c r="K6" s="6" t="s">
        <v>131</v>
      </c>
    </row>
    <row r="7" spans="1:17">
      <c r="B7" s="6"/>
      <c r="C7" s="6"/>
      <c r="D7" s="6"/>
      <c r="E7" s="6"/>
      <c r="F7" s="6"/>
      <c r="G7" s="6"/>
      <c r="H7" s="6"/>
      <c r="I7" s="6"/>
      <c r="J7" s="6"/>
      <c r="K7" s="6"/>
    </row>
    <row r="8" ht="15.75" spans="1:17">
      <c r="A8" s="7" t="s">
        <v>132</v>
      </c>
      <c r="B8" s="8" t="s">
        <v>126</v>
      </c>
      <c r="C8" s="9" t="s">
        <v>127</v>
      </c>
      <c r="D8" s="8" t="s">
        <v>126</v>
      </c>
      <c r="E8" s="9" t="s">
        <v>127</v>
      </c>
      <c r="F8" s="9" t="s">
        <v>127</v>
      </c>
      <c r="G8" s="9" t="s">
        <v>127</v>
      </c>
      <c r="H8" s="9" t="s">
        <v>127</v>
      </c>
      <c r="I8" s="9" t="s">
        <v>127</v>
      </c>
      <c r="J8" s="9" t="s">
        <v>127</v>
      </c>
      <c r="K8" s="9" t="s">
        <v>127</v>
      </c>
    </row>
    <row r="11" ht="15.75" spans="1:17">
      <c r="A11" s="2" t="s">
        <v>133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4" t="s">
        <v>114</v>
      </c>
      <c r="B12" s="4" t="s">
        <v>115</v>
      </c>
      <c r="C12" s="4" t="s">
        <v>116</v>
      </c>
      <c r="D12" s="4" t="s">
        <v>117</v>
      </c>
      <c r="E12" s="4" t="s">
        <v>118</v>
      </c>
      <c r="F12" s="4" t="s">
        <v>119</v>
      </c>
      <c r="G12" s="4" t="s">
        <v>120</v>
      </c>
      <c r="H12" s="4" t="s">
        <v>121</v>
      </c>
      <c r="I12" s="4" t="s">
        <v>122</v>
      </c>
      <c r="J12" s="4" t="s">
        <v>123</v>
      </c>
      <c r="K12" s="4" t="s">
        <v>124</v>
      </c>
      <c r="L12" s="4" t="s">
        <v>134</v>
      </c>
      <c r="M12" s="4" t="s">
        <v>135</v>
      </c>
      <c r="N12" s="4" t="s">
        <v>136</v>
      </c>
      <c r="O12" s="4" t="s">
        <v>137</v>
      </c>
      <c r="P12" s="4" t="s">
        <v>138</v>
      </c>
      <c r="Q12" s="4" t="s">
        <v>139</v>
      </c>
    </row>
    <row r="13" spans="1:17">
      <c r="A13" s="4" t="s">
        <v>125</v>
      </c>
      <c r="B13" s="6" t="s">
        <v>126</v>
      </c>
      <c r="C13" s="6" t="s">
        <v>126</v>
      </c>
      <c r="D13" s="6" t="s">
        <v>126</v>
      </c>
      <c r="E13" s="6" t="s">
        <v>126</v>
      </c>
      <c r="F13" s="6" t="s">
        <v>126</v>
      </c>
      <c r="G13" s="6" t="s">
        <v>126</v>
      </c>
      <c r="H13" s="6" t="s">
        <v>126</v>
      </c>
      <c r="I13" s="6" t="s">
        <v>127</v>
      </c>
      <c r="J13" s="6" t="s">
        <v>127</v>
      </c>
      <c r="K13" s="6" t="s">
        <v>127</v>
      </c>
      <c r="L13" s="6" t="s">
        <v>127</v>
      </c>
      <c r="M13" s="6" t="s">
        <v>127</v>
      </c>
      <c r="N13" s="6" t="s">
        <v>127</v>
      </c>
      <c r="O13" s="6" t="s">
        <v>127</v>
      </c>
      <c r="P13" s="6" t="s">
        <v>127</v>
      </c>
      <c r="Q13" s="6" t="s">
        <v>127</v>
      </c>
    </row>
    <row r="14" spans="1:17">
      <c r="A14" s="4" t="s">
        <v>140</v>
      </c>
      <c r="B14" s="6" t="s">
        <v>126</v>
      </c>
      <c r="C14" s="6" t="s">
        <v>126</v>
      </c>
      <c r="D14" s="6" t="s">
        <v>126</v>
      </c>
      <c r="E14" s="6" t="s">
        <v>126</v>
      </c>
      <c r="F14" s="6" t="s">
        <v>127</v>
      </c>
      <c r="G14" s="6" t="s">
        <v>127</v>
      </c>
      <c r="H14" s="6" t="s">
        <v>127</v>
      </c>
      <c r="I14" s="6" t="s">
        <v>127</v>
      </c>
      <c r="J14" s="6" t="s">
        <v>126</v>
      </c>
      <c r="K14" s="6" t="s">
        <v>126</v>
      </c>
      <c r="L14" s="6" t="s">
        <v>126</v>
      </c>
      <c r="M14" s="6" t="s">
        <v>126</v>
      </c>
      <c r="N14" s="6" t="s">
        <v>127</v>
      </c>
      <c r="O14" s="6" t="s">
        <v>127</v>
      </c>
      <c r="P14" s="6" t="s">
        <v>127</v>
      </c>
      <c r="Q14" s="6" t="s">
        <v>127</v>
      </c>
    </row>
    <row r="15" spans="1:17">
      <c r="A15" s="4" t="s">
        <v>128</v>
      </c>
      <c r="B15" s="6" t="s">
        <v>126</v>
      </c>
      <c r="C15" s="6" t="s">
        <v>126</v>
      </c>
      <c r="D15" s="6" t="s">
        <v>127</v>
      </c>
      <c r="E15" s="6" t="s">
        <v>127</v>
      </c>
      <c r="F15" s="6" t="s">
        <v>126</v>
      </c>
      <c r="G15" s="6" t="s">
        <v>127</v>
      </c>
      <c r="H15" s="6" t="s">
        <v>127</v>
      </c>
      <c r="I15" s="6" t="s">
        <v>127</v>
      </c>
      <c r="J15" s="6" t="s">
        <v>126</v>
      </c>
      <c r="K15" s="6" t="s">
        <v>126</v>
      </c>
      <c r="L15" s="6" t="s">
        <v>127</v>
      </c>
      <c r="M15" s="6" t="s">
        <v>127</v>
      </c>
      <c r="N15" s="6" t="s">
        <v>126</v>
      </c>
      <c r="O15" s="6" t="s">
        <v>126</v>
      </c>
      <c r="P15" s="6" t="s">
        <v>127</v>
      </c>
      <c r="Q15" s="6" t="s">
        <v>127</v>
      </c>
    </row>
    <row r="16" ht="30" spans="1:17">
      <c r="A16" s="10" t="s">
        <v>141</v>
      </c>
      <c r="B16" s="6" t="s">
        <v>126</v>
      </c>
      <c r="C16" s="6" t="s">
        <v>127</v>
      </c>
      <c r="D16" s="6" t="s">
        <v>126</v>
      </c>
      <c r="E16" s="6" t="s">
        <v>127</v>
      </c>
      <c r="F16" s="6" t="s">
        <v>126</v>
      </c>
      <c r="G16" s="6" t="s">
        <v>126</v>
      </c>
      <c r="H16" s="6" t="s">
        <v>127</v>
      </c>
      <c r="I16" s="6" t="s">
        <v>127</v>
      </c>
      <c r="J16" s="6" t="s">
        <v>126</v>
      </c>
      <c r="K16" s="6" t="s">
        <v>127</v>
      </c>
      <c r="L16" s="6" t="s">
        <v>126</v>
      </c>
      <c r="M16" s="6" t="s">
        <v>127</v>
      </c>
      <c r="N16" s="6" t="s">
        <v>126</v>
      </c>
      <c r="O16" s="6" t="s">
        <v>127</v>
      </c>
      <c r="P16" s="6" t="s">
        <v>126</v>
      </c>
      <c r="Q16" s="6" t="s">
        <v>127</v>
      </c>
    </row>
    <row r="17" spans="1: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 ht="15.75" spans="1:17">
      <c r="A18" s="7" t="s">
        <v>142</v>
      </c>
      <c r="B18" s="8" t="s">
        <v>126</v>
      </c>
      <c r="C18" s="9" t="s">
        <v>127</v>
      </c>
      <c r="D18" s="9" t="s">
        <v>127</v>
      </c>
      <c r="E18" s="9" t="s">
        <v>127</v>
      </c>
      <c r="F18" s="9" t="s">
        <v>127</v>
      </c>
      <c r="G18" s="9" t="s">
        <v>127</v>
      </c>
      <c r="H18" s="9" t="s">
        <v>127</v>
      </c>
      <c r="I18" s="9" t="s">
        <v>127</v>
      </c>
      <c r="J18" s="9" t="s">
        <v>127</v>
      </c>
      <c r="K18" s="9" t="s">
        <v>127</v>
      </c>
      <c r="L18" s="9" t="s">
        <v>127</v>
      </c>
      <c r="M18" s="9" t="s">
        <v>127</v>
      </c>
      <c r="N18" s="9" t="s">
        <v>127</v>
      </c>
      <c r="O18" s="9" t="s">
        <v>127</v>
      </c>
      <c r="P18" s="9" t="s">
        <v>127</v>
      </c>
      <c r="Q18" s="9" t="s">
        <v>127</v>
      </c>
    </row>
    <row r="21" ht="15.75" spans="1:17">
      <c r="A21" s="2" t="s">
        <v>143</v>
      </c>
      <c r="B21" s="2"/>
      <c r="C21" s="2"/>
      <c r="D21" s="2"/>
      <c r="E21" s="2"/>
      <c r="F21" s="2"/>
    </row>
    <row r="22" spans="1:17">
      <c r="A22" s="4" t="s">
        <v>114</v>
      </c>
      <c r="B22" s="4" t="s">
        <v>115</v>
      </c>
      <c r="C22" s="4" t="s">
        <v>116</v>
      </c>
      <c r="D22" s="4" t="s">
        <v>117</v>
      </c>
      <c r="E22" s="4" t="s">
        <v>118</v>
      </c>
      <c r="F22" s="4" t="s">
        <v>119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>
      <c r="A23" s="4" t="s">
        <v>144</v>
      </c>
      <c r="B23" s="6" t="s">
        <v>126</v>
      </c>
      <c r="C23" s="6" t="s">
        <v>126</v>
      </c>
      <c r="D23" s="6" t="s">
        <v>126</v>
      </c>
      <c r="E23" s="6" t="s">
        <v>126</v>
      </c>
      <c r="F23" s="6" t="s">
        <v>127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30" spans="1:17">
      <c r="A24" s="10" t="s">
        <v>145</v>
      </c>
      <c r="B24" s="6" t="s">
        <v>126</v>
      </c>
      <c r="C24" s="6" t="s">
        <v>126</v>
      </c>
      <c r="D24" s="6" t="s">
        <v>126</v>
      </c>
      <c r="E24" s="6" t="s">
        <v>127</v>
      </c>
      <c r="F24" s="6" t="s">
        <v>131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>
      <c r="A25" s="4" t="s">
        <v>146</v>
      </c>
      <c r="B25" s="6" t="s">
        <v>126</v>
      </c>
      <c r="C25" s="6" t="s">
        <v>126</v>
      </c>
      <c r="D25" s="6" t="s">
        <v>127</v>
      </c>
      <c r="E25" s="6" t="s">
        <v>131</v>
      </c>
      <c r="F25" s="6" t="s">
        <v>131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>
      <c r="A26" s="10" t="s">
        <v>147</v>
      </c>
      <c r="B26" s="6" t="s">
        <v>126</v>
      </c>
      <c r="C26" s="6" t="s">
        <v>127</v>
      </c>
      <c r="D26" s="6" t="s">
        <v>131</v>
      </c>
      <c r="E26" s="6" t="s">
        <v>131</v>
      </c>
      <c r="F26" s="6" t="s">
        <v>131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spans="1:17">
      <c r="A28" s="7" t="s">
        <v>148</v>
      </c>
      <c r="B28" s="8" t="s">
        <v>126</v>
      </c>
      <c r="C28" s="9" t="s">
        <v>127</v>
      </c>
      <c r="D28" s="9" t="s">
        <v>127</v>
      </c>
      <c r="E28" s="9" t="s">
        <v>127</v>
      </c>
      <c r="F28" s="9" t="s">
        <v>127</v>
      </c>
    </row>
    <row r="30" ht="15.75" spans="1:17">
      <c r="A30" s="2" t="s">
        <v>149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7">
      <c r="A31" s="4" t="s">
        <v>114</v>
      </c>
      <c r="B31" s="4" t="s">
        <v>115</v>
      </c>
      <c r="C31" s="4" t="s">
        <v>116</v>
      </c>
      <c r="D31" s="4" t="s">
        <v>117</v>
      </c>
      <c r="E31" s="4" t="s">
        <v>118</v>
      </c>
      <c r="F31" s="4" t="s">
        <v>119</v>
      </c>
      <c r="G31" s="4" t="s">
        <v>120</v>
      </c>
      <c r="H31" s="4" t="s">
        <v>121</v>
      </c>
      <c r="I31" s="4" t="s">
        <v>122</v>
      </c>
      <c r="J31" s="4" t="s">
        <v>123</v>
      </c>
      <c r="K31" s="4" t="s">
        <v>124</v>
      </c>
      <c r="L31" s="4"/>
      <c r="M31" s="4"/>
      <c r="N31" s="4"/>
    </row>
    <row r="32" spans="1:17">
      <c r="A32" s="4" t="s">
        <v>150</v>
      </c>
      <c r="B32" s="6" t="s">
        <v>126</v>
      </c>
      <c r="C32" s="6" t="s">
        <v>126</v>
      </c>
      <c r="D32" s="6" t="s">
        <v>126</v>
      </c>
      <c r="E32" s="6" t="s">
        <v>126</v>
      </c>
      <c r="F32" s="6" t="s">
        <v>126</v>
      </c>
      <c r="G32" s="6" t="s">
        <v>126</v>
      </c>
      <c r="H32" s="6" t="s">
        <v>126</v>
      </c>
      <c r="I32" s="6" t="s">
        <v>126</v>
      </c>
      <c r="J32" s="6" t="s">
        <v>126</v>
      </c>
      <c r="K32" s="6" t="s">
        <v>127</v>
      </c>
    </row>
    <row r="33" spans="1:11">
      <c r="A33" s="10" t="s">
        <v>151</v>
      </c>
      <c r="B33" s="6" t="s">
        <v>126</v>
      </c>
      <c r="C33" s="6" t="s">
        <v>127</v>
      </c>
      <c r="D33" s="6" t="s">
        <v>127</v>
      </c>
      <c r="E33" s="6" t="s">
        <v>127</v>
      </c>
      <c r="F33" s="6" t="s">
        <v>127</v>
      </c>
      <c r="G33" s="6" t="s">
        <v>127</v>
      </c>
      <c r="H33" s="6" t="s">
        <v>127</v>
      </c>
      <c r="I33" s="6" t="s">
        <v>127</v>
      </c>
      <c r="J33" s="6" t="s">
        <v>127</v>
      </c>
      <c r="K33" s="6" t="s">
        <v>131</v>
      </c>
    </row>
    <row r="34" spans="1:11">
      <c r="A34" s="4" t="s">
        <v>152</v>
      </c>
      <c r="B34" s="6" t="s">
        <v>131</v>
      </c>
      <c r="C34" s="6" t="s">
        <v>126</v>
      </c>
      <c r="D34" s="6" t="s">
        <v>126</v>
      </c>
      <c r="E34" s="6" t="s">
        <v>126</v>
      </c>
      <c r="F34" s="6" t="s">
        <v>126</v>
      </c>
      <c r="G34" s="6" t="s">
        <v>127</v>
      </c>
      <c r="H34" s="6" t="s">
        <v>127</v>
      </c>
      <c r="I34" s="6" t="s">
        <v>127</v>
      </c>
      <c r="J34" s="6" t="s">
        <v>127</v>
      </c>
      <c r="K34" s="6" t="s">
        <v>131</v>
      </c>
    </row>
    <row r="35" spans="1:11">
      <c r="A35" s="10" t="s">
        <v>153</v>
      </c>
      <c r="B35" s="6" t="s">
        <v>131</v>
      </c>
      <c r="C35" s="6" t="s">
        <v>126</v>
      </c>
      <c r="D35" s="6" t="s">
        <v>126</v>
      </c>
      <c r="E35" s="6" t="s">
        <v>127</v>
      </c>
      <c r="F35" s="6" t="s">
        <v>127</v>
      </c>
      <c r="G35" s="6" t="s">
        <v>126</v>
      </c>
      <c r="H35" s="6" t="s">
        <v>126</v>
      </c>
      <c r="I35" s="6" t="s">
        <v>127</v>
      </c>
      <c r="J35" s="6" t="s">
        <v>127</v>
      </c>
      <c r="K35" s="6" t="s">
        <v>131</v>
      </c>
    </row>
    <row r="36" spans="1:11">
      <c r="A36" s="4" t="s">
        <v>154</v>
      </c>
      <c r="B36" s="6" t="s">
        <v>131</v>
      </c>
      <c r="C36" s="6" t="s">
        <v>126</v>
      </c>
      <c r="D36" s="6" t="s">
        <v>127</v>
      </c>
      <c r="E36" s="6" t="s">
        <v>126</v>
      </c>
      <c r="F36" s="6" t="s">
        <v>127</v>
      </c>
      <c r="G36" s="6" t="s">
        <v>126</v>
      </c>
      <c r="H36" s="6" t="s">
        <v>127</v>
      </c>
      <c r="I36" s="6" t="s">
        <v>126</v>
      </c>
      <c r="J36" s="6" t="s">
        <v>127</v>
      </c>
      <c r="K36" s="6" t="s">
        <v>131</v>
      </c>
    </row>
    <row r="37" ht="15.75" spans="1:11">
      <c r="A37" s="7"/>
    </row>
    <row r="38" ht="15.75" spans="1:11">
      <c r="A38" s="7" t="s">
        <v>155</v>
      </c>
      <c r="B38" s="9" t="s">
        <v>127</v>
      </c>
      <c r="C38" s="8" t="s">
        <v>126</v>
      </c>
      <c r="D38" s="8" t="s">
        <v>126</v>
      </c>
      <c r="E38" s="9" t="s">
        <v>127</v>
      </c>
      <c r="F38" s="9" t="s">
        <v>127</v>
      </c>
      <c r="G38" s="9" t="s">
        <v>127</v>
      </c>
      <c r="H38" s="9" t="s">
        <v>127</v>
      </c>
      <c r="I38" s="9" t="s">
        <v>127</v>
      </c>
      <c r="J38" s="9" t="s">
        <v>127</v>
      </c>
      <c r="K38" s="9" t="s">
        <v>127</v>
      </c>
    </row>
  </sheetData>
  <mergeCells count="4">
    <mergeCell ref="A1:K1"/>
    <mergeCell ref="A11:Q11"/>
    <mergeCell ref="A21:F21"/>
    <mergeCell ref="A30:K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4"/>
  <sheetViews>
    <sheetView workbookViewId="0">
      <selection activeCell="W89" sqref="W89"/>
    </sheetView>
  </sheetViews>
  <sheetFormatPr defaultColWidth="9.14285714285714" defaultRowHeight="15"/>
  <sheetData>
    <row r="1" ht="18.75" spans="1:22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39" ht="18.75" spans="1:22">
      <c r="A39" s="1" t="s">
        <v>157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74" ht="18.75" spans="1:22">
      <c r="A74" s="1" t="s">
        <v>158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</sheetData>
  <mergeCells count="3">
    <mergeCell ref="A1:V1"/>
    <mergeCell ref="A39:V39"/>
    <mergeCell ref="A74:V7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ЭКВ. РАЗБИЕНИЕ И ГРАНИЧНЫЕ ЗНАЧ</vt:lpstr>
      <vt:lpstr>ПОПАРНОЕ ТЕСТИРОВАНИЕ</vt:lpstr>
      <vt:lpstr>ТАБЛИЦА ПРИНЯТИЯ РЕШЕНИЙ</vt:lpstr>
      <vt:lpstr>ТЕХНИКА ПЕРЕХОДОВ СОСТОЯНИЙ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2026-10-30T07:42:00Z</dcterms:created>
  <dcterms:modified xsi:type="dcterms:W3CDTF">2026-10-30T10:26:11Z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8D0FEF29571C4C2594EE4325BB2E62AB_11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1</vt:i4>
  </property>
</Properties>
</file>